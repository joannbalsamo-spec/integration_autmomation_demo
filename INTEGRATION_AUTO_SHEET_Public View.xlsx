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d.docs.live.net/5223da0a2ee9fd3f/Casa d'Balsamo/Resume ^0 Cover Letter/GitHub Projects/Excel Automation (Build Specs)/"/>
    </mc:Choice>
  </mc:AlternateContent>
  <xr:revisionPtr revIDLastSave="722" documentId="8_{DCAFC388-A3BA-49C2-84D0-DC268E273FDA}" xr6:coauthVersionLast="47" xr6:coauthVersionMax="47" xr10:uidLastSave="{EFFDFACF-2469-400F-AF23-A8FBCBE2BAC5}"/>
  <bookViews>
    <workbookView xWindow="-96" yWindow="-96" windowWidth="23232" windowHeight="12432" tabRatio="901" activeTab="1" xr2:uid="{996049D8-9D11-42CC-A9CB-9B1320028EBD}"/>
  </bookViews>
  <sheets>
    <sheet name="Program Contacts &amp; Kickoff" sheetId="5" r:id="rId1"/>
    <sheet name="Program Config" sheetId="1" r:id="rId2"/>
    <sheet name="DemoData3 CCP Tab" sheetId="18" r:id="rId3"/>
    <sheet name="Web Logo Search &amp; Drop" sheetId="11" r:id="rId4"/>
    <sheet name="Comms &amp; Tech" sheetId="8" r:id="rId5"/>
    <sheet name="HTML Messages" sheetId="12" r:id="rId6"/>
    <sheet name="DOC1 Table &amp; Note" sheetId="14" r:id="rId7"/>
    <sheet name="Drop Down Lists" sheetId="2" state="hidden" r:id="rId8"/>
    <sheet name="Concats" sheetId="10" state="hidden" r:id="rId9"/>
  </sheets>
  <definedNames>
    <definedName name="_xlnm._FilterDatabase" localSheetId="2" hidden="1">'DemoData3 CCP Tab'!$H$1:$Y$100</definedName>
    <definedName name="APIdapter_CCP_B">'Program Config'!#REF!</definedName>
    <definedName name="Back_To_Build_Specs">'Program Config'!$C$33</definedName>
    <definedName name="CCP">'Program Config'!#REF!</definedName>
    <definedName name="Client_URL">'Program Config'!$C$34</definedName>
    <definedName name="Go_Back_to_Build_Specs">'DemoData3 CCP Tab'!$C$1</definedName>
    <definedName name="Link_Back_To_Build_Specs">'Program Config'!$C$34</definedName>
    <definedName name="Link_to_APIdapter_Common_Custom_Parameters">'Program Config'!$H$33</definedName>
    <definedName name="_xlnm.Print_Area" localSheetId="6">'DOC1 Table &amp; Note'!$A$1:$E$42</definedName>
    <definedName name="_xlnm.Print_Area" localSheetId="1">'Program Config'!$A$1:$M$65</definedName>
    <definedName name="_xlnm.Print_Area" localSheetId="0">'Program Contacts &amp; Kickoff'!$A$1:$C$20</definedName>
    <definedName name="Time_Zone_Map">'Program Config'!$B$2024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9" i="10" l="1"/>
  <c r="S39" i="10"/>
  <c r="AE34" i="10"/>
  <c r="AC34" i="10"/>
  <c r="Y34" i="10"/>
  <c r="W34" i="10"/>
  <c r="U34" i="10"/>
  <c r="S34" i="10"/>
  <c r="L34" i="10"/>
  <c r="H3" i="10"/>
  <c r="S18" i="2"/>
  <c r="S13" i="2"/>
  <c r="S10" i="2"/>
  <c r="S9" i="2"/>
  <c r="S8" i="2"/>
  <c r="I7" i="2" a="1"/>
  <c r="I7" i="2" s="1"/>
  <c r="S6" i="2"/>
  <c r="S4" i="2"/>
  <c r="L30" i="1" a="1"/>
  <c r="L30" i="1" s="1"/>
  <c r="D34" i="10"/>
  <c r="B34" i="10"/>
  <c r="L32" i="1" a="1"/>
  <c r="L32" i="1" s="1"/>
  <c r="AA36" i="10"/>
  <c r="Q36" i="10"/>
  <c r="AA35" i="10"/>
  <c r="Q35" i="10"/>
  <c r="F20" i="8" a="1"/>
  <c r="F20" i="8" s="1"/>
  <c r="F15" i="8" a="1"/>
  <c r="F15" i="8" s="1"/>
  <c r="E6" i="8" a="1"/>
  <c r="E6" i="8" s="1"/>
  <c r="M48" i="1"/>
  <c r="C23" i="14" a="1"/>
  <c r="C23" i="14" s="1"/>
  <c r="A5" i="1"/>
  <c r="B16" i="14"/>
  <c r="B15" i="14"/>
  <c r="B14" i="14"/>
  <c r="D23" i="1"/>
  <c r="D18" i="1"/>
  <c r="M19" i="8" a="1"/>
  <c r="M19" i="8" s="1"/>
  <c r="M18" i="8" a="1"/>
  <c r="M18" i="8" s="1"/>
  <c r="N17" i="8" a="1"/>
  <c r="N17" i="8" s="1"/>
  <c r="M17" i="8" a="1"/>
  <c r="M17" i="8" s="1"/>
  <c r="N15" i="8" a="1"/>
  <c r="N15" i="8" s="1"/>
  <c r="M15" i="8" a="1"/>
  <c r="M15" i="8" s="1"/>
  <c r="N14" i="8" a="1"/>
  <c r="N14" i="8" s="1"/>
  <c r="M14" i="8" a="1"/>
  <c r="M14" i="8" s="1"/>
  <c r="N13" i="8" a="1"/>
  <c r="N13" i="8" s="1"/>
  <c r="M13" i="8" a="1"/>
  <c r="M13" i="8" s="1"/>
  <c r="N12" i="8" a="1"/>
  <c r="N12" i="8" s="1"/>
  <c r="M12" i="8" a="1"/>
  <c r="M12" i="8" s="1"/>
  <c r="N10" i="8" a="1"/>
  <c r="N10" i="8" s="1"/>
  <c r="M10" i="8" a="1"/>
  <c r="M10" i="8" s="1"/>
  <c r="N9" i="8" a="1"/>
  <c r="N9" i="8" s="1"/>
  <c r="M9" i="8" a="1"/>
  <c r="M9" i="8" s="1"/>
  <c r="N8" i="8" a="1"/>
  <c r="N8" i="8" s="1"/>
  <c r="M8" i="8" a="1"/>
  <c r="M8" i="8" s="1"/>
  <c r="N7" i="8" a="1"/>
  <c r="N7" i="8" s="1"/>
  <c r="M7" i="8" a="1"/>
  <c r="M7" i="8" s="1"/>
  <c r="M6" i="8" a="1"/>
  <c r="M6" i="8" s="1"/>
  <c r="C21" i="14"/>
  <c r="L28" i="1" a="1"/>
  <c r="L28" i="1" s="1"/>
  <c r="E11" i="8" a="1"/>
  <c r="E11" i="8" s="1"/>
  <c r="L35" i="1"/>
  <c r="L35" i="1" a="1"/>
  <c r="O37" i="10"/>
  <c r="O34" i="10"/>
  <c r="F3" i="10"/>
  <c r="AH8" i="2"/>
  <c r="E1" i="18" a="1"/>
  <c r="E1" i="18" s="1"/>
  <c r="E25" i="8" a="1"/>
  <c r="E25" i="8" s="1"/>
  <c r="G24" i="8" a="1"/>
  <c r="G24" i="8" s="1"/>
  <c r="F24" i="8" a="1"/>
  <c r="F24" i="8" s="1"/>
  <c r="E24" i="8" a="1"/>
  <c r="E24" i="8" s="1"/>
  <c r="F23" i="8" a="1"/>
  <c r="F23" i="8" s="1"/>
  <c r="E23" i="8" a="1"/>
  <c r="E23" i="8" s="1"/>
  <c r="F22" i="8" a="1"/>
  <c r="F22" i="8" s="1"/>
  <c r="E22" i="8" a="1"/>
  <c r="E22" i="8" s="1"/>
  <c r="F21" i="8" a="1"/>
  <c r="F21" i="8" s="1"/>
  <c r="E21" i="8" a="1"/>
  <c r="E21" i="8" s="1"/>
  <c r="E20" i="8" a="1"/>
  <c r="E20" i="8" s="1"/>
  <c r="E19" i="8" a="1"/>
  <c r="E19" i="8" s="1"/>
  <c r="G18" i="8" a="1"/>
  <c r="G18" i="8" s="1"/>
  <c r="F18" i="8" a="1"/>
  <c r="F18" i="8" s="1"/>
  <c r="E18" i="8" a="1"/>
  <c r="E18" i="8" s="1"/>
  <c r="F17" i="8" a="1"/>
  <c r="F17" i="8" s="1"/>
  <c r="E17" i="8" a="1"/>
  <c r="E17" i="8" s="1"/>
  <c r="F16" i="8" a="1"/>
  <c r="F16" i="8" s="1"/>
  <c r="E16" i="8" a="1"/>
  <c r="E16" i="8" s="1"/>
  <c r="E15" i="8" a="1"/>
  <c r="E15" i="8" s="1"/>
  <c r="E14" i="8" a="1"/>
  <c r="E14" i="8" s="1"/>
  <c r="G13" i="8" a="1"/>
  <c r="G13" i="8" s="1"/>
  <c r="F13" i="8"/>
  <c r="F13" i="8" a="1"/>
  <c r="E13" i="8" a="1"/>
  <c r="E13" i="8" s="1"/>
  <c r="F12" i="8" a="1"/>
  <c r="F12" i="8" s="1"/>
  <c r="E12" i="8" a="1"/>
  <c r="E12" i="8" s="1"/>
  <c r="F11" i="8" a="1"/>
  <c r="F11" i="8" s="1"/>
  <c r="F10" i="8" a="1"/>
  <c r="F10" i="8" s="1"/>
  <c r="E10" i="8" a="1"/>
  <c r="E10" i="8" s="1"/>
  <c r="E9" i="8" a="1"/>
  <c r="E9" i="8" s="1"/>
  <c r="G8" i="8"/>
  <c r="G8" i="8" a="1"/>
  <c r="F8" i="8" a="1"/>
  <c r="F8" i="8" s="1"/>
  <c r="E8" i="8" a="1"/>
  <c r="E8" i="8" s="1"/>
  <c r="F7" i="8" a="1"/>
  <c r="F7" i="8" s="1"/>
  <c r="E7" i="8" a="1"/>
  <c r="E7" i="8" s="1"/>
  <c r="E2" i="8"/>
  <c r="E1" i="8"/>
  <c r="A13" i="18" a="1"/>
  <c r="A13" i="18" s="1"/>
  <c r="B4" i="18"/>
  <c r="F1" i="18" a="1"/>
  <c r="F1" i="18" s="1"/>
  <c r="M57" i="1" a="1"/>
  <c r="M57" i="1" s="1"/>
  <c r="L57" i="1" a="1"/>
  <c r="L57" i="1" s="1"/>
  <c r="M56" i="1" a="1"/>
  <c r="M56" i="1" s="1"/>
  <c r="L56" i="1" a="1"/>
  <c r="L56" i="1" s="1"/>
  <c r="M55" i="1" a="1"/>
  <c r="M55" i="1" s="1"/>
  <c r="L55" i="1" a="1"/>
  <c r="L55" i="1" s="1"/>
  <c r="M52" i="1" a="1"/>
  <c r="M52" i="1" s="1"/>
  <c r="N49" i="1"/>
  <c r="E45" i="1" a="1"/>
  <c r="E45" i="1" s="1"/>
  <c r="E44" i="1" a="1"/>
  <c r="E44" i="1" s="1"/>
  <c r="M35" i="1" a="1"/>
  <c r="M35" i="1" s="1"/>
  <c r="M34" i="1" a="1"/>
  <c r="M34" i="1" s="1"/>
  <c r="L34" i="1" a="1"/>
  <c r="L34" i="1" s="1"/>
  <c r="I34" i="1"/>
  <c r="M33" i="1" a="1"/>
  <c r="M33" i="1" s="1"/>
  <c r="L33" i="1" a="1"/>
  <c r="L33" i="1" s="1"/>
  <c r="L31" i="1" a="1"/>
  <c r="L31" i="1" s="1"/>
  <c r="H31" i="1" a="1"/>
  <c r="H31" i="1" s="1"/>
  <c r="M30" i="1" a="1"/>
  <c r="M30" i="1" s="1"/>
  <c r="H30" i="1" a="1"/>
  <c r="H30" i="1" s="1"/>
  <c r="M29" i="1" a="1"/>
  <c r="M29" i="1" s="1"/>
  <c r="L29" i="1" a="1"/>
  <c r="L29" i="1" s="1"/>
  <c r="H29" i="1" a="1"/>
  <c r="H29" i="1" s="1"/>
  <c r="M28" i="1" a="1"/>
  <c r="M28" i="1" s="1"/>
  <c r="M27" i="1" a="1"/>
  <c r="M27" i="1" s="1"/>
  <c r="L27" i="1" a="1"/>
  <c r="L27" i="1" s="1"/>
  <c r="M26" i="1" a="1"/>
  <c r="M26" i="1" s="1"/>
  <c r="L26" i="1" a="1"/>
  <c r="L26" i="1" s="1"/>
  <c r="G4" i="1"/>
  <c r="D35" i="10"/>
  <c r="B35" i="10"/>
  <c r="D12" i="10"/>
  <c r="B12" i="10"/>
  <c r="D6" i="10"/>
  <c r="B6" i="10"/>
  <c r="D5" i="10"/>
  <c r="B5" i="10"/>
  <c r="AE12" i="2"/>
  <c r="AE11" i="2"/>
  <c r="B28" i="14"/>
  <c r="V19" i="2"/>
  <c r="V17" i="2"/>
  <c r="V14" i="2"/>
  <c r="V12" i="2"/>
  <c r="V11" i="2"/>
  <c r="V7" i="2"/>
  <c r="V5" i="2"/>
  <c r="U40" i="10"/>
  <c r="S40" i="10"/>
  <c r="U37" i="10"/>
  <c r="S37" i="10"/>
  <c r="G7" i="2" a="1"/>
  <c r="G7" i="2" s="1"/>
  <c r="A7" i="10"/>
  <c r="B3" i="18"/>
  <c r="E12" i="1"/>
  <c r="U38" i="10"/>
  <c r="S38" i="10"/>
  <c r="P19" i="2"/>
  <c r="P17" i="2"/>
  <c r="P14" i="2"/>
  <c r="P12" i="2"/>
  <c r="P11" i="2"/>
  <c r="P7" i="2"/>
  <c r="P5" i="2"/>
  <c r="K7" i="2" a="1"/>
  <c r="K7" i="2" s="1"/>
  <c r="D39" i="10"/>
  <c r="B39" i="10"/>
  <c r="H37" i="10"/>
  <c r="F37" i="10"/>
  <c r="D36" i="10"/>
  <c r="B36" i="10"/>
  <c r="O35" i="10"/>
  <c r="A27" i="10"/>
  <c r="U20" i="10"/>
  <c r="S16" i="10"/>
  <c r="H4" i="10"/>
  <c r="L3" i="10"/>
  <c r="B6" i="14" a="1"/>
  <c r="B6" i="14" s="1"/>
  <c r="M37" i="1"/>
  <c r="A31" i="1" a="1"/>
  <c r="A31" i="1" s="1"/>
  <c r="A30" i="1" a="1"/>
  <c r="A30" i="1" s="1"/>
  <c r="M2" i="8"/>
  <c r="C5" i="11"/>
  <c r="U35" i="10"/>
  <c r="S35" i="10"/>
  <c r="A3" i="10"/>
  <c r="C14" i="12"/>
  <c r="A4" i="18"/>
  <c r="A3" i="18"/>
  <c r="B2" i="18"/>
  <c r="A2" i="18"/>
  <c r="A1" i="18"/>
  <c r="A35" i="1" a="1"/>
  <c r="A35" i="1" s="1"/>
  <c r="A34" i="1" a="1"/>
  <c r="A34" i="1" s="1"/>
  <c r="H33" i="1" a="1"/>
  <c r="H33" i="1" s="1"/>
  <c r="C33" i="1" a="1"/>
  <c r="C33" i="1" s="1"/>
  <c r="A33" i="1" a="1"/>
  <c r="A33" i="1" s="1"/>
  <c r="BG5" i="2"/>
  <c r="BG6" i="2"/>
  <c r="BG7" i="2"/>
  <c r="BG8" i="2"/>
  <c r="A6" i="1"/>
  <c r="G4" i="8"/>
  <c r="G3" i="8"/>
  <c r="H25" i="1"/>
  <c r="H25" i="1" a="1"/>
  <c r="A25" i="1"/>
  <c r="I25" i="1" s="1"/>
  <c r="A25" i="1" a="1"/>
  <c r="A24" i="1" a="1"/>
  <c r="A24" i="1" s="1"/>
  <c r="F25" i="1" s="1"/>
  <c r="F23" i="1"/>
  <c r="H20" i="1" a="1"/>
  <c r="H20" i="1" s="1"/>
  <c r="A20" i="1" a="1"/>
  <c r="A20" i="1" s="1"/>
  <c r="A19" i="1" a="1"/>
  <c r="A19" i="1" s="1"/>
  <c r="F18" i="1"/>
  <c r="M7" i="2"/>
  <c r="M7" i="2" a="1"/>
  <c r="E7" i="2" a="1"/>
  <c r="E7" i="2" s="1"/>
  <c r="J4" i="10"/>
  <c r="I4" i="10"/>
  <c r="J3" i="10"/>
  <c r="I3" i="10"/>
  <c r="N37" i="10"/>
  <c r="M37" i="10" s="1"/>
  <c r="K37" i="10"/>
  <c r="K35" i="10"/>
  <c r="K12" i="2" a="1"/>
  <c r="K12" i="2"/>
  <c r="I12" i="2" a="1"/>
  <c r="I12" i="2"/>
  <c r="E12" i="2" a="1"/>
  <c r="E12" i="2" s="1"/>
  <c r="K11" i="2" a="1"/>
  <c r="K11" i="2" s="1"/>
  <c r="I11" i="2" a="1"/>
  <c r="I11" i="2" s="1"/>
  <c r="K5" i="2" a="1"/>
  <c r="K5" i="2" s="1"/>
  <c r="G5" i="2" a="1"/>
  <c r="G5" i="2" s="1"/>
  <c r="M19" i="2"/>
  <c r="M19" i="2" a="1"/>
  <c r="K19" i="2" a="1"/>
  <c r="K19" i="2" s="1"/>
  <c r="I19" i="2" a="1"/>
  <c r="I19" i="2" s="1"/>
  <c r="G19" i="2" a="1"/>
  <c r="G19" i="2" s="1"/>
  <c r="E19" i="2" a="1"/>
  <c r="E19" i="2" s="1"/>
  <c r="M17" i="2" a="1"/>
  <c r="M17" i="2" s="1"/>
  <c r="K17" i="2"/>
  <c r="K17" i="2" a="1"/>
  <c r="I17" i="2"/>
  <c r="I17" i="2" a="1"/>
  <c r="G17" i="2"/>
  <c r="G17" i="2" a="1"/>
  <c r="E17" i="2" a="1"/>
  <c r="E17" i="2" s="1"/>
  <c r="A12" i="1"/>
  <c r="H79" i="10"/>
  <c r="B79" i="10"/>
  <c r="B76" i="10"/>
  <c r="C27" i="14" a="1"/>
  <c r="C27" i="14" s="1"/>
  <c r="D38" i="10"/>
  <c r="B38" i="10"/>
  <c r="U5" i="10" a="1"/>
  <c r="U5" i="10" s="1"/>
  <c r="S5" i="10" a="1"/>
  <c r="S5" i="10" s="1"/>
  <c r="U3" i="10" a="1"/>
  <c r="U3" i="10" s="1"/>
  <c r="S3" i="10" a="1"/>
  <c r="S3" i="10" s="1"/>
  <c r="C49" i="1" a="1"/>
  <c r="C49" i="1" s="1"/>
  <c r="U19" i="2"/>
  <c r="T19" i="2"/>
  <c r="R19" i="2"/>
  <c r="U17" i="2"/>
  <c r="T17" i="2"/>
  <c r="U12" i="2"/>
  <c r="T12" i="2"/>
  <c r="R12" i="2"/>
  <c r="U11" i="2"/>
  <c r="T11" i="2"/>
  <c r="R11" i="2"/>
  <c r="U7" i="2"/>
  <c r="T7" i="2"/>
  <c r="R7" i="2"/>
  <c r="U5" i="2"/>
  <c r="T5" i="2"/>
  <c r="R5" i="2"/>
  <c r="M45" i="1"/>
  <c r="M36" i="1"/>
  <c r="C53" i="1"/>
  <c r="Y19" i="2"/>
  <c r="Y17" i="2"/>
  <c r="Y14" i="2"/>
  <c r="Y12" i="2"/>
  <c r="Y11" i="2"/>
  <c r="Y7" i="2"/>
  <c r="Y5" i="2"/>
  <c r="A49" i="1"/>
  <c r="C47" i="1" a="1"/>
  <c r="C47" i="1" s="1"/>
  <c r="C46" i="1" a="1"/>
  <c r="C46" i="1" s="1"/>
  <c r="C45" i="1" a="1"/>
  <c r="C45" i="1" s="1"/>
  <c r="E41" i="14"/>
  <c r="E40" i="14"/>
  <c r="E39" i="14"/>
  <c r="E38" i="14"/>
  <c r="E33" i="14" a="1"/>
  <c r="E33" i="14" s="1"/>
  <c r="F20" i="1" l="1"/>
  <c r="I20" i="1"/>
  <c r="B35" i="14" a="1"/>
  <c r="B35" i="14" s="1"/>
  <c r="E35" i="14" a="1"/>
  <c r="E35" i="14" s="1"/>
  <c r="B33" i="14" a="1"/>
  <c r="B33" i="14" s="1"/>
  <c r="E18" i="5" a="1"/>
  <c r="E18" i="5" s="1"/>
  <c r="F29" i="5" l="1"/>
  <c r="G18" i="5" a="1"/>
  <c r="G18" i="5" s="1"/>
  <c r="E7" i="5"/>
  <c r="AU28" i="2" s="1"/>
  <c r="E8" i="5"/>
  <c r="AU29" i="2" s="1"/>
  <c r="E9" i="5"/>
  <c r="AU30" i="2" s="1"/>
  <c r="E10" i="5"/>
  <c r="AU31" i="2" s="1"/>
  <c r="E11" i="5"/>
  <c r="AU32" i="2" s="1"/>
  <c r="E12" i="5"/>
  <c r="AU33" i="2" s="1"/>
  <c r="E13" i="5"/>
  <c r="AU34" i="2" s="1"/>
  <c r="E14" i="5"/>
  <c r="AU35" i="2" s="1"/>
  <c r="E15" i="5"/>
  <c r="AU36" i="2" s="1"/>
  <c r="AW34" i="2" l="1"/>
  <c r="AV34" i="2"/>
  <c r="AV35" i="2"/>
  <c r="AW35" i="2"/>
  <c r="AW33" i="2"/>
  <c r="AV33" i="2"/>
  <c r="AV32" i="2"/>
  <c r="AW32" i="2"/>
  <c r="AW31" i="2"/>
  <c r="AV31" i="2"/>
  <c r="AV30" i="2"/>
  <c r="AW30" i="2"/>
  <c r="AW29" i="2"/>
  <c r="AV29" i="2"/>
  <c r="AW28" i="2"/>
  <c r="AV28" i="2"/>
  <c r="AW36" i="2"/>
  <c r="AV36" i="2"/>
  <c r="AT28" i="2"/>
  <c r="AX34" i="2"/>
  <c r="AX32" i="2"/>
  <c r="E6" i="5"/>
  <c r="AU27" i="2" s="1"/>
  <c r="E3" i="5"/>
  <c r="E2" i="5"/>
  <c r="E1" i="5"/>
  <c r="AW27" i="2" l="1"/>
  <c r="AV27" i="2"/>
  <c r="J13" i="5" a="1"/>
  <c r="J13" i="5" s="1"/>
  <c r="J14" i="5" a="1"/>
  <c r="J14" i="5" s="1"/>
  <c r="K13" i="5" a="1"/>
  <c r="K13" i="5" s="1"/>
  <c r="K14" i="5" a="1"/>
  <c r="K14" i="5" s="1"/>
  <c r="J7" i="5" a="1"/>
  <c r="J7" i="5" s="1"/>
  <c r="J15" i="5" a="1"/>
  <c r="J15" i="5" s="1"/>
  <c r="K15" i="5" a="1"/>
  <c r="K15" i="5" s="1"/>
  <c r="K7" i="5" a="1"/>
  <c r="K7" i="5" s="1"/>
  <c r="J8" i="5" a="1"/>
  <c r="J8" i="5" s="1"/>
  <c r="K6" i="5" a="1"/>
  <c r="K6" i="5" s="1"/>
  <c r="K10" i="5" a="1"/>
  <c r="K10" i="5" s="1"/>
  <c r="K11" i="5" a="1"/>
  <c r="K11" i="5" s="1"/>
  <c r="K12" i="5" a="1"/>
  <c r="K12" i="5" s="1"/>
  <c r="K8" i="5" a="1"/>
  <c r="K8" i="5" s="1"/>
  <c r="J6" i="5" a="1"/>
  <c r="J6" i="5" s="1"/>
  <c r="J9" i="5" a="1"/>
  <c r="J9" i="5" s="1"/>
  <c r="K9" i="5" a="1"/>
  <c r="K9" i="5" s="1"/>
  <c r="J10" i="5" a="1"/>
  <c r="J10" i="5" s="1"/>
  <c r="J11" i="5" a="1"/>
  <c r="J11" i="5" s="1"/>
  <c r="J12" i="5" a="1"/>
  <c r="J12" i="5" s="1"/>
  <c r="AT33" i="2"/>
  <c r="AT29" i="2"/>
  <c r="AT34" i="2"/>
  <c r="AT30" i="2"/>
  <c r="AT35" i="2"/>
  <c r="AT31" i="2"/>
  <c r="AT27" i="2"/>
  <c r="AT36" i="2"/>
  <c r="AT32" i="2"/>
  <c r="F12" i="1"/>
  <c r="A8" i="10" s="1"/>
  <c r="AV2" i="2"/>
  <c r="B41" i="14"/>
  <c r="B40" i="14"/>
  <c r="B39" i="14"/>
  <c r="B38" i="14"/>
  <c r="C26" i="14" a="1"/>
  <c r="C26" i="14" s="1"/>
  <c r="C22" i="14" a="1"/>
  <c r="C22" i="14" s="1"/>
  <c r="B20" i="14"/>
  <c r="G20" i="1"/>
  <c r="F10" i="1"/>
  <c r="E31" i="14" l="1" a="1"/>
  <c r="E31" i="14" s="1"/>
  <c r="AD10" i="2"/>
  <c r="M40" i="1" a="1"/>
  <c r="M40" i="1" s="1"/>
  <c r="I29" i="1" a="1"/>
  <c r="I29" i="1" s="1"/>
  <c r="F19" i="8" a="1"/>
  <c r="F19" i="8" s="1"/>
  <c r="AD18" i="2"/>
  <c r="H2" i="14"/>
  <c r="N18" i="8" a="1"/>
  <c r="N18" i="8" s="1"/>
  <c r="AD12" i="2"/>
  <c r="M31" i="1" a="1"/>
  <c r="M31" i="1" s="1"/>
  <c r="C43" i="14"/>
  <c r="AD11" i="2"/>
  <c r="AD6" i="2"/>
  <c r="H33" i="14"/>
  <c r="N34" i="10"/>
  <c r="B31" i="14" a="1"/>
  <c r="B31" i="14" s="1"/>
  <c r="C52" i="1" a="1"/>
  <c r="C52" i="1" s="1"/>
  <c r="A49" i="10" s="1"/>
  <c r="F25" i="8" a="1"/>
  <c r="F25" i="8" s="1"/>
  <c r="AD4" i="2"/>
  <c r="H35" i="1"/>
  <c r="M35" i="10"/>
  <c r="AD9" i="2"/>
  <c r="C50" i="1" a="1"/>
  <c r="C50" i="1" s="1"/>
  <c r="F14" i="8" a="1"/>
  <c r="F14" i="8" s="1"/>
  <c r="C51" i="1"/>
  <c r="F9" i="8" a="1"/>
  <c r="F9" i="8" s="1"/>
  <c r="B53" i="10"/>
  <c r="AW24" i="2"/>
  <c r="K33" i="10"/>
  <c r="AW23" i="2"/>
  <c r="AW14" i="2" a="1"/>
  <c r="AW14" i="2" s="1"/>
  <c r="AW22" i="2"/>
  <c r="AW21" i="2"/>
  <c r="AW20" i="2"/>
  <c r="AW17" i="2" a="1"/>
  <c r="AW17" i="2" s="1"/>
  <c r="AA34" i="10"/>
  <c r="AW16" i="2" a="1"/>
  <c r="AW16" i="2" s="1"/>
  <c r="Q34" i="10"/>
  <c r="B31" i="10"/>
  <c r="AW15" i="2" a="1"/>
  <c r="AW15" i="2" s="1"/>
  <c r="Q33" i="10"/>
  <c r="B33" i="10"/>
  <c r="I33" i="10"/>
  <c r="D74" i="10"/>
  <c r="Y33" i="10"/>
  <c r="J33" i="10"/>
  <c r="S33" i="10"/>
  <c r="L33" i="10"/>
  <c r="C74" i="10"/>
  <c r="AA33" i="10"/>
  <c r="H74" i="10"/>
  <c r="H33" i="10"/>
  <c r="I74" i="10"/>
  <c r="K74" i="10"/>
  <c r="F74" i="10"/>
  <c r="AC33" i="10"/>
  <c r="B74" i="10"/>
  <c r="L74" i="10"/>
  <c r="U33" i="10"/>
  <c r="D33" i="10"/>
  <c r="J74" i="10"/>
  <c r="AE33" i="10"/>
  <c r="E74" i="10"/>
  <c r="G74" i="10"/>
  <c r="F33" i="10"/>
  <c r="M74" i="10"/>
  <c r="W33" i="10"/>
  <c r="M33" i="10"/>
  <c r="O33" i="10"/>
  <c r="AH9" i="2"/>
  <c r="N74" i="10"/>
  <c r="O74" i="10"/>
  <c r="P74" i="10"/>
  <c r="E37" i="14" a="1"/>
  <c r="E37" i="14" s="1"/>
  <c r="B37" i="14" a="1"/>
  <c r="B37" i="14" s="1"/>
  <c r="I6" i="5"/>
  <c r="L14" i="5"/>
  <c r="L13" i="5"/>
  <c r="I9" i="5"/>
  <c r="L8" i="5"/>
  <c r="I15" i="5"/>
  <c r="I7" i="5"/>
  <c r="I12" i="5"/>
  <c r="I11" i="5"/>
  <c r="I10" i="5"/>
  <c r="L12" i="5"/>
  <c r="L11" i="5"/>
  <c r="L10" i="5"/>
  <c r="I8" i="5"/>
  <c r="L7" i="5"/>
  <c r="L15" i="5"/>
  <c r="I14" i="5"/>
  <c r="L9" i="5"/>
  <c r="I13" i="5"/>
  <c r="L6" i="5"/>
  <c r="J10" i="1"/>
  <c r="AD3" i="2"/>
  <c r="A9" i="10"/>
  <c r="C3" i="11" a="1"/>
  <c r="C3" i="11" s="1"/>
  <c r="AD20" i="2"/>
  <c r="AD16" i="2"/>
  <c r="A51" i="10" l="1"/>
  <c r="B36" i="14" a="1"/>
  <c r="B36" i="14" s="1"/>
  <c r="E36" i="14" a="1"/>
  <c r="E36" i="14" s="1"/>
  <c r="B32" i="14" a="1"/>
  <c r="B32" i="14" s="1"/>
  <c r="E32" i="14" a="1"/>
  <c r="E32" i="14" s="1"/>
  <c r="F28" i="5"/>
  <c r="I28" i="1"/>
  <c r="I27" i="1"/>
  <c r="C29" i="1" l="1"/>
  <c r="U16" i="10" l="1"/>
  <c r="M75" i="10"/>
  <c r="F35" i="1"/>
  <c r="G75" i="10"/>
  <c r="B80" i="10"/>
  <c r="N78" i="10"/>
  <c r="C75" i="10"/>
  <c r="K78" i="10"/>
  <c r="B75" i="10"/>
  <c r="L75" i="10"/>
  <c r="K75" i="10"/>
  <c r="J75" i="10"/>
  <c r="I75" i="10"/>
  <c r="B1" i="14"/>
  <c r="E75" i="10"/>
  <c r="J80" i="10"/>
  <c r="H80" i="10"/>
  <c r="H75" i="10"/>
  <c r="I80" i="10"/>
  <c r="E78" i="10"/>
  <c r="O75" i="10"/>
  <c r="F75" i="10"/>
  <c r="AD22" i="18"/>
  <c r="D75" i="10"/>
  <c r="P75" i="10"/>
  <c r="J35" i="10"/>
  <c r="N75" i="10"/>
  <c r="S12" i="10"/>
  <c r="B19" i="14" l="1"/>
  <c r="B18" i="14"/>
  <c r="B17" i="14"/>
  <c r="B13" i="14"/>
  <c r="B12" i="14"/>
  <c r="B11" i="14"/>
  <c r="B10" i="14"/>
  <c r="B9" i="14"/>
  <c r="B8" i="14"/>
  <c r="C18" i="14"/>
  <c r="C16" i="14"/>
  <c r="C15" i="14"/>
  <c r="C14" i="14"/>
  <c r="C12" i="14"/>
  <c r="C10" i="14"/>
  <c r="C9" i="14"/>
  <c r="C8" i="14"/>
  <c r="C5" i="14"/>
  <c r="C6" i="14"/>
  <c r="C7" i="14"/>
  <c r="C17" i="14"/>
  <c r="G25" i="1"/>
  <c r="J25" i="1"/>
  <c r="J18" i="1"/>
  <c r="J23" i="1"/>
  <c r="C13" i="14" l="1"/>
  <c r="C11" i="14"/>
  <c r="J20" i="1"/>
  <c r="BJ55" i="2"/>
  <c r="BK42" i="2"/>
  <c r="BI42" i="2" s="1"/>
  <c r="BI53" i="2"/>
  <c r="BI47" i="2"/>
  <c r="BI48" i="2"/>
  <c r="BI49" i="2"/>
  <c r="BI50" i="2"/>
  <c r="BI51" i="2"/>
  <c r="BI52" i="2"/>
  <c r="BI46" i="2"/>
  <c r="BI38" i="2"/>
  <c r="BI39" i="2"/>
  <c r="BI40" i="2"/>
  <c r="BI41" i="2"/>
  <c r="BI43" i="2"/>
  <c r="BI44" i="2"/>
  <c r="BI45" i="2"/>
  <c r="BK3" i="2"/>
  <c r="BI3" i="2" s="1"/>
  <c r="BK4" i="2"/>
  <c r="BI4" i="2" s="1"/>
  <c r="BK5" i="2"/>
  <c r="BI5" i="2" s="1"/>
  <c r="BK6" i="2"/>
  <c r="BI6" i="2" s="1"/>
  <c r="BK7" i="2"/>
  <c r="BI7" i="2" s="1"/>
  <c r="BK8" i="2"/>
  <c r="BI8" i="2" s="1"/>
  <c r="BK9" i="2"/>
  <c r="BI9" i="2" s="1"/>
  <c r="BK10" i="2"/>
  <c r="BI10" i="2" s="1"/>
  <c r="BK11" i="2"/>
  <c r="BI11" i="2" s="1"/>
  <c r="BK12" i="2"/>
  <c r="BI12" i="2" s="1"/>
  <c r="BK13" i="2"/>
  <c r="BI13" i="2" s="1"/>
  <c r="BK14" i="2"/>
  <c r="BI14" i="2" s="1"/>
  <c r="BK15" i="2"/>
  <c r="BI15" i="2" s="1"/>
  <c r="BK16" i="2"/>
  <c r="BI16" i="2" s="1"/>
  <c r="BK17" i="2"/>
  <c r="BI17" i="2" s="1"/>
  <c r="BK18" i="2"/>
  <c r="BI18" i="2" s="1"/>
  <c r="BK19" i="2"/>
  <c r="BI19" i="2" s="1"/>
  <c r="BK20" i="2"/>
  <c r="BI20" i="2" s="1"/>
  <c r="BK21" i="2"/>
  <c r="BI21" i="2" s="1"/>
  <c r="BK22" i="2"/>
  <c r="BI22" i="2" s="1"/>
  <c r="BK23" i="2"/>
  <c r="BI23" i="2" s="1"/>
  <c r="BK24" i="2"/>
  <c r="BI24" i="2" s="1"/>
  <c r="BK25" i="2"/>
  <c r="BI25" i="2" s="1"/>
  <c r="BK26" i="2"/>
  <c r="BI26" i="2" s="1"/>
  <c r="BK27" i="2"/>
  <c r="BI27" i="2" s="1"/>
  <c r="BK28" i="2"/>
  <c r="BI28" i="2" s="1"/>
  <c r="BK29" i="2"/>
  <c r="BI29" i="2" s="1"/>
  <c r="BK30" i="2"/>
  <c r="BI30" i="2" s="1"/>
  <c r="BK31" i="2"/>
  <c r="BI31" i="2" s="1"/>
  <c r="BK32" i="2"/>
  <c r="BI32" i="2" s="1"/>
  <c r="BK33" i="2"/>
  <c r="BI33" i="2" s="1"/>
  <c r="BK34" i="2"/>
  <c r="BI34" i="2" s="1"/>
  <c r="BK35" i="2"/>
  <c r="BI35" i="2" s="1"/>
  <c r="BK36" i="2"/>
  <c r="BI36" i="2" s="1"/>
  <c r="BK37" i="2"/>
  <c r="BI37" i="2" s="1"/>
  <c r="L16" i="1"/>
  <c r="C8" i="1" a="1"/>
  <c r="C8" i="1" s="1"/>
  <c r="B29" i="14" s="1"/>
  <c r="N7" i="1"/>
  <c r="N6" i="1"/>
  <c r="N5" i="1"/>
  <c r="N4" i="1"/>
  <c r="N3" i="1"/>
  <c r="N2" i="1"/>
  <c r="L2" i="1"/>
  <c r="M32" i="1" l="1" a="1"/>
  <c r="M32" i="1" s="1"/>
  <c r="M41" i="1"/>
  <c r="M1" i="1"/>
  <c r="L15" i="1" a="1"/>
  <c r="L15" i="1" s="1"/>
  <c r="E11" i="1"/>
  <c r="B1" i="11"/>
  <c r="A11" i="1"/>
  <c r="A1" i="1" a="1"/>
  <c r="A1" i="1" s="1"/>
  <c r="L4" i="1" a="1"/>
  <c r="L4" i="1" s="1"/>
  <c r="A31" i="10" l="1"/>
  <c r="A30" i="10" s="1"/>
  <c r="G5" i="14" l="1"/>
  <c r="A46" i="10"/>
  <c r="M3" i="8"/>
  <c r="L17" i="1"/>
  <c r="AA100" i="18" l="1"/>
  <c r="Z100" i="18" s="1"/>
  <c r="AA99" i="18"/>
  <c r="Z99" i="18" s="1"/>
  <c r="AA98" i="18"/>
  <c r="Z98" i="18" s="1"/>
  <c r="AA97" i="18"/>
  <c r="Z97" i="18" s="1"/>
  <c r="AA96" i="18"/>
  <c r="Z96" i="18" s="1"/>
  <c r="AA95" i="18"/>
  <c r="Z95" i="18" s="1"/>
  <c r="AA94" i="18"/>
  <c r="Z94" i="18" s="1"/>
  <c r="AA93" i="18"/>
  <c r="Z93" i="18" s="1"/>
  <c r="AA92" i="18"/>
  <c r="Z92" i="18" s="1"/>
  <c r="AA91" i="18"/>
  <c r="Z91" i="18" s="1"/>
  <c r="AA90" i="18"/>
  <c r="Z90" i="18" s="1"/>
  <c r="AA89" i="18"/>
  <c r="Z89" i="18" s="1"/>
  <c r="AA88" i="18"/>
  <c r="Z88" i="18" s="1"/>
  <c r="AA87" i="18"/>
  <c r="Z87" i="18" s="1"/>
  <c r="AA86" i="18"/>
  <c r="Z86" i="18" s="1"/>
  <c r="AA85" i="18"/>
  <c r="Z85" i="18" s="1"/>
  <c r="AA84" i="18"/>
  <c r="Z84" i="18" s="1"/>
  <c r="AA83" i="18"/>
  <c r="Z83" i="18" s="1"/>
  <c r="AA82" i="18"/>
  <c r="Z82" i="18" s="1"/>
  <c r="AA81" i="18"/>
  <c r="Z81" i="18" s="1"/>
  <c r="AA80" i="18"/>
  <c r="Z80" i="18" s="1"/>
  <c r="AA79" i="18"/>
  <c r="Z79" i="18" s="1"/>
  <c r="AA78" i="18"/>
  <c r="Z78" i="18" s="1"/>
  <c r="AA77" i="18"/>
  <c r="Z77" i="18" s="1"/>
  <c r="AA76" i="18"/>
  <c r="Z76" i="18" s="1"/>
  <c r="AA75" i="18"/>
  <c r="Z75" i="18" s="1"/>
  <c r="AA74" i="18"/>
  <c r="Z74" i="18" s="1"/>
  <c r="AA73" i="18"/>
  <c r="Z73" i="18" s="1"/>
  <c r="AA72" i="18"/>
  <c r="Z72" i="18" s="1"/>
  <c r="AA71" i="18"/>
  <c r="Z71" i="18" s="1"/>
  <c r="AA70" i="18"/>
  <c r="Z70" i="18" s="1"/>
  <c r="AA69" i="18"/>
  <c r="Z69" i="18" s="1"/>
  <c r="AA68" i="18"/>
  <c r="Z68" i="18" s="1"/>
  <c r="AA67" i="18"/>
  <c r="Z67" i="18" s="1"/>
  <c r="AA66" i="18"/>
  <c r="Z66" i="18" s="1"/>
  <c r="AA65" i="18"/>
  <c r="Z65" i="18" s="1"/>
  <c r="AA64" i="18"/>
  <c r="Z64" i="18" s="1"/>
  <c r="AA63" i="18"/>
  <c r="Z63" i="18" s="1"/>
  <c r="AA62" i="18"/>
  <c r="Z62" i="18" s="1"/>
  <c r="AA61" i="18"/>
  <c r="Z61" i="18" s="1"/>
  <c r="AA60" i="18"/>
  <c r="Z60" i="18" s="1"/>
  <c r="AA59" i="18"/>
  <c r="Z59" i="18"/>
  <c r="AA58" i="18"/>
  <c r="Z58" i="18" s="1"/>
  <c r="AA57" i="18"/>
  <c r="Z57" i="18" s="1"/>
  <c r="AA56" i="18"/>
  <c r="Z56" i="18" s="1"/>
  <c r="AA55" i="18"/>
  <c r="Z55" i="18" s="1"/>
  <c r="AA54" i="18"/>
  <c r="Z54" i="18" s="1"/>
  <c r="AA53" i="18"/>
  <c r="Z53" i="18" s="1"/>
  <c r="AA52" i="18"/>
  <c r="Z52" i="18" s="1"/>
  <c r="AA51" i="18"/>
  <c r="Z51" i="18" s="1"/>
  <c r="AA50" i="18"/>
  <c r="Z50" i="18" s="1"/>
  <c r="AA49" i="18"/>
  <c r="Z49" i="18" s="1"/>
  <c r="AA48" i="18"/>
  <c r="Z48" i="18" s="1"/>
  <c r="AA47" i="18"/>
  <c r="Z47" i="18" s="1"/>
  <c r="AA46" i="18"/>
  <c r="Z46" i="18" s="1"/>
  <c r="AA45" i="18"/>
  <c r="Z45" i="18" s="1"/>
  <c r="AA44" i="18"/>
  <c r="Z44" i="18" s="1"/>
  <c r="AA43" i="18"/>
  <c r="Z43" i="18" s="1"/>
  <c r="AA42" i="18"/>
  <c r="Z42" i="18" s="1"/>
  <c r="AA41" i="18"/>
  <c r="Z41" i="18" s="1"/>
  <c r="AA40" i="18"/>
  <c r="Z40" i="18" s="1"/>
  <c r="AA39" i="18"/>
  <c r="Z39" i="18" s="1"/>
  <c r="AA38" i="18"/>
  <c r="Z38" i="18" s="1"/>
  <c r="AA37" i="18"/>
  <c r="Z37" i="18" s="1"/>
  <c r="AA36" i="18"/>
  <c r="Z36" i="18" s="1"/>
  <c r="AA35" i="18"/>
  <c r="Z35" i="18" s="1"/>
  <c r="AA34" i="18"/>
  <c r="Z34" i="18" s="1"/>
  <c r="AA33" i="18"/>
  <c r="Z33" i="18" s="1"/>
  <c r="AA32" i="18"/>
  <c r="Z32" i="18" s="1"/>
  <c r="AA31" i="18"/>
  <c r="Z31" i="18" s="1"/>
  <c r="AA30" i="18"/>
  <c r="Z30" i="18" s="1"/>
  <c r="AA29" i="18"/>
  <c r="Z29" i="18" s="1"/>
  <c r="AA28" i="18"/>
  <c r="Z28" i="18" s="1"/>
  <c r="AA27" i="18"/>
  <c r="Z27" i="18" s="1"/>
  <c r="AA26" i="18"/>
  <c r="Z26" i="18" s="1"/>
  <c r="AA25" i="18"/>
  <c r="Z25" i="18" s="1"/>
  <c r="AA24" i="18"/>
  <c r="Z24" i="18" s="1"/>
  <c r="AA23" i="18"/>
  <c r="Z23" i="18" s="1"/>
  <c r="AA22" i="18"/>
  <c r="Z22" i="18" s="1"/>
  <c r="AA21" i="18"/>
  <c r="Z21" i="18" s="1"/>
  <c r="AA20" i="18"/>
  <c r="Z20" i="18" s="1"/>
  <c r="AA19" i="18"/>
  <c r="Z19" i="18" s="1"/>
  <c r="AA18" i="18"/>
  <c r="Z18" i="18" s="1"/>
  <c r="AA17" i="18"/>
  <c r="Z17" i="18" s="1"/>
  <c r="AA16" i="18"/>
  <c r="Z16" i="18" s="1"/>
  <c r="AA15" i="18"/>
  <c r="Z15" i="18" s="1"/>
  <c r="AA14" i="18"/>
  <c r="Z14" i="18" s="1"/>
  <c r="AA13" i="18"/>
  <c r="Z13" i="18" s="1"/>
  <c r="AA12" i="18"/>
  <c r="Z12" i="18" s="1"/>
  <c r="AA11" i="18"/>
  <c r="Z11" i="18" s="1"/>
  <c r="AA10" i="18"/>
  <c r="Z10" i="18" s="1"/>
  <c r="AA9" i="18"/>
  <c r="Z9" i="18" s="1"/>
  <c r="AA8" i="18"/>
  <c r="Z8" i="18" s="1"/>
  <c r="AA7" i="18"/>
  <c r="Z7" i="18" s="1"/>
  <c r="AA6" i="18"/>
  <c r="Z6" i="18" s="1"/>
  <c r="AA5" i="18"/>
  <c r="Z5" i="18" s="1"/>
  <c r="AA4" i="18"/>
  <c r="Z4" i="18"/>
  <c r="AA3" i="18"/>
  <c r="Z3" i="18" s="1"/>
  <c r="AA2" i="18"/>
  <c r="Z2" i="18" s="1"/>
  <c r="AC47" i="10"/>
  <c r="AD17" i="2"/>
  <c r="AC17" i="2"/>
  <c r="AB17" i="2"/>
  <c r="L5" i="1"/>
  <c r="B34" i="14" l="1" a="1"/>
  <c r="B34" i="14" s="1"/>
  <c r="E34" i="14" a="1"/>
  <c r="E34" i="14" s="1"/>
  <c r="AB21" i="2" l="1"/>
  <c r="AB8" i="2"/>
  <c r="AB14" i="2"/>
  <c r="AB13" i="2"/>
  <c r="B2" i="8" s="1"/>
  <c r="Y100" i="18" l="1"/>
  <c r="X100" i="18" s="1"/>
  <c r="Y3" i="18"/>
  <c r="X3" i="18" s="1"/>
  <c r="Y4" i="18"/>
  <c r="X4" i="18" s="1"/>
  <c r="Y5" i="18"/>
  <c r="X5" i="18" s="1"/>
  <c r="Y6" i="18"/>
  <c r="X6" i="18" s="1"/>
  <c r="Y9" i="18"/>
  <c r="X9" i="18" s="1"/>
  <c r="Y11" i="18"/>
  <c r="X11" i="18" s="1"/>
  <c r="Y12" i="18"/>
  <c r="X12" i="18" s="1"/>
  <c r="Y13" i="18"/>
  <c r="Y14" i="18"/>
  <c r="X14" i="18" s="1"/>
  <c r="Y15" i="18"/>
  <c r="X15" i="18" s="1"/>
  <c r="Y16" i="18"/>
  <c r="X16" i="18" s="1"/>
  <c r="Y17" i="18"/>
  <c r="X17" i="18" s="1"/>
  <c r="Y18" i="18"/>
  <c r="X18" i="18" s="1"/>
  <c r="Y19" i="18"/>
  <c r="X19" i="18" s="1"/>
  <c r="Y20" i="18"/>
  <c r="X20" i="18" s="1"/>
  <c r="Y21" i="18"/>
  <c r="X21" i="18" s="1"/>
  <c r="Y22" i="18"/>
  <c r="X22" i="18" s="1"/>
  <c r="Y23" i="18"/>
  <c r="X23" i="18" s="1"/>
  <c r="Y24" i="18"/>
  <c r="X24" i="18" s="1"/>
  <c r="Y25" i="18"/>
  <c r="X25" i="18" s="1"/>
  <c r="Y26" i="18"/>
  <c r="X26" i="18" s="1"/>
  <c r="Y27" i="18"/>
  <c r="X27" i="18" s="1"/>
  <c r="Y28" i="18"/>
  <c r="X28" i="18" s="1"/>
  <c r="Y29" i="18"/>
  <c r="X29" i="18" s="1"/>
  <c r="Y30" i="18"/>
  <c r="X30" i="18" s="1"/>
  <c r="Y31" i="18"/>
  <c r="X31" i="18" s="1"/>
  <c r="Y34" i="18"/>
  <c r="X34" i="18" s="1"/>
  <c r="Y32" i="18"/>
  <c r="X32" i="18" s="1"/>
  <c r="Y33" i="18"/>
  <c r="X33" i="18" s="1"/>
  <c r="Y38" i="18"/>
  <c r="X38" i="18" s="1"/>
  <c r="Y39" i="18"/>
  <c r="X39" i="18" s="1"/>
  <c r="Y40" i="18"/>
  <c r="X40" i="18" s="1"/>
  <c r="Y41" i="18"/>
  <c r="X41" i="18" s="1"/>
  <c r="Y42" i="18"/>
  <c r="X42" i="18" s="1"/>
  <c r="Y43" i="18"/>
  <c r="X43" i="18" s="1"/>
  <c r="Y44" i="18"/>
  <c r="X44" i="18" s="1"/>
  <c r="Y45" i="18"/>
  <c r="X45" i="18" s="1"/>
  <c r="Y46" i="18"/>
  <c r="X46" i="18" s="1"/>
  <c r="Y35" i="18"/>
  <c r="X35" i="18" s="1"/>
  <c r="Y36" i="18"/>
  <c r="X36" i="18" s="1"/>
  <c r="Y37" i="18"/>
  <c r="X37" i="18" s="1"/>
  <c r="Y8" i="18"/>
  <c r="Y7" i="18"/>
  <c r="X7" i="18" s="1"/>
  <c r="Y10" i="18"/>
  <c r="X10" i="18" s="1"/>
  <c r="Y47" i="18"/>
  <c r="X47" i="18" s="1"/>
  <c r="Y48" i="18"/>
  <c r="X48" i="18" s="1"/>
  <c r="Y49" i="18"/>
  <c r="X49" i="18" s="1"/>
  <c r="Y50" i="18"/>
  <c r="X50" i="18" s="1"/>
  <c r="Y51" i="18"/>
  <c r="X51" i="18" s="1"/>
  <c r="Y52" i="18"/>
  <c r="X52" i="18" s="1"/>
  <c r="Y53" i="18"/>
  <c r="X53" i="18" s="1"/>
  <c r="Y54" i="18"/>
  <c r="X54" i="18" s="1"/>
  <c r="Y55" i="18"/>
  <c r="X55" i="18" s="1"/>
  <c r="Y56" i="18"/>
  <c r="X56" i="18" s="1"/>
  <c r="Y57" i="18"/>
  <c r="X57" i="18" s="1"/>
  <c r="Y58" i="18"/>
  <c r="X58" i="18" s="1"/>
  <c r="Y59" i="18"/>
  <c r="X59" i="18" s="1"/>
  <c r="Y60" i="18"/>
  <c r="X60" i="18" s="1"/>
  <c r="Y61" i="18"/>
  <c r="X61" i="18" s="1"/>
  <c r="Y62" i="18"/>
  <c r="X62" i="18" s="1"/>
  <c r="Y63" i="18"/>
  <c r="X63" i="18" s="1"/>
  <c r="Y64" i="18"/>
  <c r="X64" i="18" s="1"/>
  <c r="Y65" i="18"/>
  <c r="X65" i="18" s="1"/>
  <c r="Y66" i="18"/>
  <c r="X66" i="18" s="1"/>
  <c r="Y67" i="18"/>
  <c r="X67" i="18" s="1"/>
  <c r="Y68" i="18"/>
  <c r="X68" i="18" s="1"/>
  <c r="Y69" i="18"/>
  <c r="X69" i="18" s="1"/>
  <c r="Y70" i="18"/>
  <c r="X70" i="18" s="1"/>
  <c r="Y71" i="18"/>
  <c r="X71" i="18" s="1"/>
  <c r="Y72" i="18"/>
  <c r="X72" i="18" s="1"/>
  <c r="Y73" i="18"/>
  <c r="X73" i="18" s="1"/>
  <c r="Y74" i="18"/>
  <c r="X74" i="18" s="1"/>
  <c r="Y75" i="18"/>
  <c r="X75" i="18" s="1"/>
  <c r="Y76" i="18"/>
  <c r="X76" i="18" s="1"/>
  <c r="Y77" i="18"/>
  <c r="X77" i="18" s="1"/>
  <c r="Y78" i="18"/>
  <c r="X78" i="18" s="1"/>
  <c r="Y79" i="18"/>
  <c r="X79" i="18" s="1"/>
  <c r="Y80" i="18"/>
  <c r="X80" i="18" s="1"/>
  <c r="Y81" i="18"/>
  <c r="X81" i="18" s="1"/>
  <c r="Y82" i="18"/>
  <c r="X82" i="18" s="1"/>
  <c r="Y83" i="18"/>
  <c r="X83" i="18" s="1"/>
  <c r="Y84" i="18"/>
  <c r="X84" i="18" s="1"/>
  <c r="Y85" i="18"/>
  <c r="X85" i="18" s="1"/>
  <c r="Y86" i="18"/>
  <c r="X86" i="18" s="1"/>
  <c r="Y87" i="18"/>
  <c r="Y88" i="18"/>
  <c r="Y89" i="18"/>
  <c r="Y90" i="18"/>
  <c r="Y91" i="18"/>
  <c r="X91" i="18" s="1"/>
  <c r="Y92" i="18"/>
  <c r="X92" i="18" s="1"/>
  <c r="Y93" i="18"/>
  <c r="X93" i="18" s="1"/>
  <c r="Y94" i="18"/>
  <c r="X94" i="18" s="1"/>
  <c r="Y95" i="18"/>
  <c r="X95" i="18" s="1"/>
  <c r="Y96" i="18"/>
  <c r="X96" i="18" s="1"/>
  <c r="Y97" i="18"/>
  <c r="X97" i="18" s="1"/>
  <c r="Y98" i="18"/>
  <c r="X98" i="18" s="1"/>
  <c r="Y99" i="18"/>
  <c r="X99" i="18" s="1"/>
  <c r="W3" i="18"/>
  <c r="V3" i="18" s="1"/>
  <c r="W4" i="18"/>
  <c r="V4" i="18" s="1"/>
  <c r="W5" i="18"/>
  <c r="W6" i="18"/>
  <c r="W9" i="18"/>
  <c r="V9" i="18" s="1"/>
  <c r="W11" i="18"/>
  <c r="V11" i="18" s="1"/>
  <c r="W12" i="18"/>
  <c r="V12" i="18" s="1"/>
  <c r="W13" i="18"/>
  <c r="V13" i="18" s="1"/>
  <c r="W14" i="18"/>
  <c r="V14" i="18" s="1"/>
  <c r="W15" i="18"/>
  <c r="V15" i="18" s="1"/>
  <c r="W16" i="18"/>
  <c r="V16" i="18" s="1"/>
  <c r="W17" i="18"/>
  <c r="W18" i="18"/>
  <c r="V18" i="18" s="1"/>
  <c r="W19" i="18"/>
  <c r="V19" i="18" s="1"/>
  <c r="W20" i="18"/>
  <c r="V20" i="18" s="1"/>
  <c r="W21" i="18"/>
  <c r="V21" i="18" s="1"/>
  <c r="W22" i="18"/>
  <c r="V22" i="18" s="1"/>
  <c r="W23" i="18"/>
  <c r="V23" i="18" s="1"/>
  <c r="W24" i="18"/>
  <c r="W25" i="18"/>
  <c r="V25" i="18" s="1"/>
  <c r="W26" i="18"/>
  <c r="V26" i="18" s="1"/>
  <c r="W27" i="18"/>
  <c r="V27" i="18" s="1"/>
  <c r="W28" i="18"/>
  <c r="V28" i="18" s="1"/>
  <c r="W29" i="18"/>
  <c r="V29" i="18" s="1"/>
  <c r="W30" i="18"/>
  <c r="V30" i="18" s="1"/>
  <c r="W31" i="18"/>
  <c r="W34" i="18"/>
  <c r="V34" i="18" s="1"/>
  <c r="W32" i="18"/>
  <c r="V32" i="18" s="1"/>
  <c r="W33" i="18"/>
  <c r="V33" i="18" s="1"/>
  <c r="W38" i="18"/>
  <c r="V38" i="18" s="1"/>
  <c r="W39" i="18"/>
  <c r="V39" i="18" s="1"/>
  <c r="W40" i="18"/>
  <c r="V40" i="18" s="1"/>
  <c r="W41" i="18"/>
  <c r="V41" i="18" s="1"/>
  <c r="W42" i="18"/>
  <c r="V42" i="18" s="1"/>
  <c r="W43" i="18"/>
  <c r="W44" i="18"/>
  <c r="V44" i="18" s="1"/>
  <c r="W45" i="18"/>
  <c r="V45" i="18" s="1"/>
  <c r="W46" i="18"/>
  <c r="V46" i="18" s="1"/>
  <c r="W35" i="18"/>
  <c r="V35" i="18" s="1"/>
  <c r="W36" i="18"/>
  <c r="V36" i="18" s="1"/>
  <c r="W37" i="18"/>
  <c r="W8" i="18"/>
  <c r="V8" i="18" s="1"/>
  <c r="W7" i="18"/>
  <c r="V7" i="18" s="1"/>
  <c r="W10" i="18"/>
  <c r="V10" i="18" s="1"/>
  <c r="W47" i="18"/>
  <c r="V47" i="18" s="1"/>
  <c r="W48" i="18"/>
  <c r="V48" i="18" s="1"/>
  <c r="W49" i="18"/>
  <c r="V49" i="18" s="1"/>
  <c r="W50" i="18"/>
  <c r="V50" i="18" s="1"/>
  <c r="W51" i="18"/>
  <c r="V51" i="18" s="1"/>
  <c r="W52" i="18"/>
  <c r="V52" i="18" s="1"/>
  <c r="W53" i="18"/>
  <c r="W54" i="18"/>
  <c r="V54" i="18" s="1"/>
  <c r="W55" i="18"/>
  <c r="V55" i="18" s="1"/>
  <c r="W56" i="18"/>
  <c r="V56" i="18" s="1"/>
  <c r="W57" i="18"/>
  <c r="V57" i="18" s="1"/>
  <c r="W58" i="18"/>
  <c r="V58" i="18" s="1"/>
  <c r="W59" i="18"/>
  <c r="W60" i="18"/>
  <c r="W61" i="18"/>
  <c r="V61" i="18" s="1"/>
  <c r="W62" i="18"/>
  <c r="V62" i="18" s="1"/>
  <c r="W63" i="18"/>
  <c r="V63" i="18" s="1"/>
  <c r="W64" i="18"/>
  <c r="V64" i="18" s="1"/>
  <c r="W65" i="18"/>
  <c r="V65" i="18" s="1"/>
  <c r="W66" i="18"/>
  <c r="V66" i="18" s="1"/>
  <c r="W67" i="18"/>
  <c r="V67" i="18" s="1"/>
  <c r="W68" i="18"/>
  <c r="V68" i="18" s="1"/>
  <c r="W69" i="18"/>
  <c r="W70" i="18"/>
  <c r="V70" i="18" s="1"/>
  <c r="W71" i="18"/>
  <c r="W72" i="18"/>
  <c r="V72" i="18" s="1"/>
  <c r="W73" i="18"/>
  <c r="V73" i="18" s="1"/>
  <c r="W74" i="18"/>
  <c r="V74" i="18" s="1"/>
  <c r="W75" i="18"/>
  <c r="V75" i="18" s="1"/>
  <c r="W76" i="18"/>
  <c r="V76" i="18" s="1"/>
  <c r="W77" i="18"/>
  <c r="V77" i="18" s="1"/>
  <c r="W78" i="18"/>
  <c r="V78" i="18" s="1"/>
  <c r="W79" i="18"/>
  <c r="V79" i="18" s="1"/>
  <c r="W80" i="18"/>
  <c r="V80" i="18" s="1"/>
  <c r="W81" i="18"/>
  <c r="V81" i="18" s="1"/>
  <c r="W82" i="18"/>
  <c r="V82" i="18" s="1"/>
  <c r="W83" i="18"/>
  <c r="V83" i="18" s="1"/>
  <c r="W84" i="18"/>
  <c r="V84" i="18" s="1"/>
  <c r="W85" i="18"/>
  <c r="W86" i="18"/>
  <c r="V86" i="18" s="1"/>
  <c r="W87" i="18"/>
  <c r="V87" i="18" s="1"/>
  <c r="W88" i="18"/>
  <c r="V88" i="18" s="1"/>
  <c r="W89" i="18"/>
  <c r="V89" i="18" s="1"/>
  <c r="W90" i="18"/>
  <c r="V90" i="18" s="1"/>
  <c r="W91" i="18"/>
  <c r="V91" i="18" s="1"/>
  <c r="W92" i="18"/>
  <c r="V92" i="18" s="1"/>
  <c r="W93" i="18"/>
  <c r="V93" i="18" s="1"/>
  <c r="W94" i="18"/>
  <c r="V94" i="18" s="1"/>
  <c r="W95" i="18"/>
  <c r="V95" i="18" s="1"/>
  <c r="W96" i="18"/>
  <c r="V96" i="18" s="1"/>
  <c r="W97" i="18"/>
  <c r="V97" i="18" s="1"/>
  <c r="W98" i="18"/>
  <c r="V98" i="18" s="1"/>
  <c r="W99" i="18"/>
  <c r="V99" i="18" s="1"/>
  <c r="W100" i="18"/>
  <c r="V100" i="18" s="1"/>
  <c r="U3" i="18"/>
  <c r="U4" i="18"/>
  <c r="U5" i="18"/>
  <c r="U6" i="18"/>
  <c r="T6" i="18" s="1"/>
  <c r="U9" i="18"/>
  <c r="T9" i="18" s="1"/>
  <c r="U11" i="18"/>
  <c r="T11" i="18" s="1"/>
  <c r="U12" i="18"/>
  <c r="U13" i="18"/>
  <c r="T13" i="18" s="1"/>
  <c r="U14" i="18"/>
  <c r="T14" i="18" s="1"/>
  <c r="U15" i="18"/>
  <c r="T15" i="18" s="1"/>
  <c r="U16" i="18"/>
  <c r="T16" i="18" s="1"/>
  <c r="U17" i="18"/>
  <c r="T17" i="18" s="1"/>
  <c r="U18" i="18"/>
  <c r="T18" i="18" s="1"/>
  <c r="U19" i="18"/>
  <c r="T19" i="18" s="1"/>
  <c r="U20" i="18"/>
  <c r="T20" i="18" s="1"/>
  <c r="U21" i="18"/>
  <c r="T21" i="18" s="1"/>
  <c r="U22" i="18"/>
  <c r="U23" i="18"/>
  <c r="T23" i="18" s="1"/>
  <c r="U24" i="18"/>
  <c r="T24" i="18" s="1"/>
  <c r="U25" i="18"/>
  <c r="T25" i="18" s="1"/>
  <c r="U26" i="18"/>
  <c r="T26" i="18" s="1"/>
  <c r="U27" i="18"/>
  <c r="T27" i="18" s="1"/>
  <c r="U28" i="18"/>
  <c r="T28" i="18" s="1"/>
  <c r="U29" i="18"/>
  <c r="T29" i="18" s="1"/>
  <c r="U30" i="18"/>
  <c r="T30" i="18" s="1"/>
  <c r="U31" i="18"/>
  <c r="T31" i="18" s="1"/>
  <c r="U34" i="18"/>
  <c r="T34" i="18" s="1"/>
  <c r="U32" i="18"/>
  <c r="T32" i="18" s="1"/>
  <c r="U33" i="18"/>
  <c r="T33" i="18" s="1"/>
  <c r="U38" i="18"/>
  <c r="T38" i="18" s="1"/>
  <c r="U39" i="18"/>
  <c r="T39" i="18" s="1"/>
  <c r="U40" i="18"/>
  <c r="T40" i="18" s="1"/>
  <c r="U41" i="18"/>
  <c r="T41" i="18" s="1"/>
  <c r="U42" i="18"/>
  <c r="T42" i="18" s="1"/>
  <c r="U43" i="18"/>
  <c r="U44" i="18"/>
  <c r="T44" i="18" s="1"/>
  <c r="U45" i="18"/>
  <c r="T45" i="18" s="1"/>
  <c r="U46" i="18"/>
  <c r="U35" i="18"/>
  <c r="T35" i="18" s="1"/>
  <c r="U36" i="18"/>
  <c r="T36" i="18" s="1"/>
  <c r="U37" i="18"/>
  <c r="T37" i="18" s="1"/>
  <c r="U8" i="18"/>
  <c r="T8" i="18" s="1"/>
  <c r="U7" i="18"/>
  <c r="T7" i="18" s="1"/>
  <c r="U10" i="18"/>
  <c r="T10" i="18" s="1"/>
  <c r="U47" i="18"/>
  <c r="T47" i="18" s="1"/>
  <c r="U48" i="18"/>
  <c r="T48" i="18" s="1"/>
  <c r="U49" i="18"/>
  <c r="T49" i="18" s="1"/>
  <c r="U50" i="18"/>
  <c r="T50" i="18" s="1"/>
  <c r="U51" i="18"/>
  <c r="T51" i="18" s="1"/>
  <c r="U52" i="18"/>
  <c r="T52" i="18" s="1"/>
  <c r="U53" i="18"/>
  <c r="T53" i="18" s="1"/>
  <c r="U54" i="18"/>
  <c r="T54" i="18" s="1"/>
  <c r="U55" i="18"/>
  <c r="U56" i="18"/>
  <c r="T56" i="18" s="1"/>
  <c r="U57" i="18"/>
  <c r="T57" i="18" s="1"/>
  <c r="U58" i="18"/>
  <c r="T58" i="18" s="1"/>
  <c r="U59" i="18"/>
  <c r="T59" i="18" s="1"/>
  <c r="U60" i="18"/>
  <c r="T60" i="18" s="1"/>
  <c r="U61" i="18"/>
  <c r="T61" i="18" s="1"/>
  <c r="U62" i="18"/>
  <c r="T62" i="18" s="1"/>
  <c r="U63" i="18"/>
  <c r="T63" i="18" s="1"/>
  <c r="U64" i="18"/>
  <c r="T64" i="18" s="1"/>
  <c r="U65" i="18"/>
  <c r="T65" i="18" s="1"/>
  <c r="U66" i="18"/>
  <c r="T66" i="18" s="1"/>
  <c r="U67" i="18"/>
  <c r="T67" i="18" s="1"/>
  <c r="U68" i="18"/>
  <c r="U69" i="18"/>
  <c r="T69" i="18" s="1"/>
  <c r="U70" i="18"/>
  <c r="T70" i="18" s="1"/>
  <c r="U71" i="18"/>
  <c r="T71" i="18" s="1"/>
  <c r="U72" i="18"/>
  <c r="T72" i="18" s="1"/>
  <c r="U73" i="18"/>
  <c r="U74" i="18"/>
  <c r="T74" i="18" s="1"/>
  <c r="U75" i="18"/>
  <c r="T75" i="18" s="1"/>
  <c r="U76" i="18"/>
  <c r="T76" i="18" s="1"/>
  <c r="U77" i="18"/>
  <c r="T77" i="18" s="1"/>
  <c r="U78" i="18"/>
  <c r="T78" i="18" s="1"/>
  <c r="U79" i="18"/>
  <c r="U80" i="18"/>
  <c r="T80" i="18" s="1"/>
  <c r="U81" i="18"/>
  <c r="T81" i="18" s="1"/>
  <c r="U82" i="18"/>
  <c r="T82" i="18" s="1"/>
  <c r="U83" i="18"/>
  <c r="U84" i="18"/>
  <c r="T84" i="18" s="1"/>
  <c r="U85" i="18"/>
  <c r="T85" i="18" s="1"/>
  <c r="U86" i="18"/>
  <c r="T86" i="18" s="1"/>
  <c r="U87" i="18"/>
  <c r="T87" i="18" s="1"/>
  <c r="U88" i="18"/>
  <c r="T88" i="18" s="1"/>
  <c r="U89" i="18"/>
  <c r="T89" i="18" s="1"/>
  <c r="U90" i="18"/>
  <c r="T90" i="18" s="1"/>
  <c r="U91" i="18"/>
  <c r="T91" i="18" s="1"/>
  <c r="U92" i="18"/>
  <c r="T92" i="18" s="1"/>
  <c r="U93" i="18"/>
  <c r="T93" i="18" s="1"/>
  <c r="U94" i="18"/>
  <c r="T94" i="18" s="1"/>
  <c r="U95" i="18"/>
  <c r="T95" i="18" s="1"/>
  <c r="U96" i="18"/>
  <c r="T96" i="18" s="1"/>
  <c r="U97" i="18"/>
  <c r="T97" i="18" s="1"/>
  <c r="U98" i="18"/>
  <c r="T98" i="18" s="1"/>
  <c r="U99" i="18"/>
  <c r="U100" i="18"/>
  <c r="T100" i="18" s="1"/>
  <c r="S3" i="18"/>
  <c r="R3" i="18" s="1"/>
  <c r="S4" i="18"/>
  <c r="R4" i="18" s="1"/>
  <c r="S5" i="18"/>
  <c r="R5" i="18" s="1"/>
  <c r="S6" i="18"/>
  <c r="R6" i="18" s="1"/>
  <c r="S9" i="18"/>
  <c r="S11" i="18"/>
  <c r="R11" i="18" s="1"/>
  <c r="S12" i="18"/>
  <c r="R12" i="18" s="1"/>
  <c r="S13" i="18"/>
  <c r="R13" i="18" s="1"/>
  <c r="S14" i="18"/>
  <c r="R14" i="18" s="1"/>
  <c r="S15" i="18"/>
  <c r="R15" i="18" s="1"/>
  <c r="S16" i="18"/>
  <c r="R16" i="18" s="1"/>
  <c r="S17" i="18"/>
  <c r="R17" i="18" s="1"/>
  <c r="S18" i="18"/>
  <c r="R18" i="18" s="1"/>
  <c r="S19" i="18"/>
  <c r="R19" i="18" s="1"/>
  <c r="S20" i="18"/>
  <c r="R20" i="18" s="1"/>
  <c r="S21" i="18"/>
  <c r="R21" i="18" s="1"/>
  <c r="S22" i="18"/>
  <c r="R22" i="18" s="1"/>
  <c r="S23" i="18"/>
  <c r="R23" i="18" s="1"/>
  <c r="S24" i="18"/>
  <c r="R24" i="18" s="1"/>
  <c r="S25" i="18"/>
  <c r="R25" i="18" s="1"/>
  <c r="S26" i="18"/>
  <c r="R26" i="18" s="1"/>
  <c r="S27" i="18"/>
  <c r="R27" i="18" s="1"/>
  <c r="S28" i="18"/>
  <c r="R28" i="18" s="1"/>
  <c r="S29" i="18"/>
  <c r="R29" i="18" s="1"/>
  <c r="S30" i="18"/>
  <c r="R30" i="18" s="1"/>
  <c r="S31" i="18"/>
  <c r="R31" i="18" s="1"/>
  <c r="S34" i="18"/>
  <c r="R34" i="18" s="1"/>
  <c r="S32" i="18"/>
  <c r="R32" i="18" s="1"/>
  <c r="S33" i="18"/>
  <c r="R33" i="18" s="1"/>
  <c r="S38" i="18"/>
  <c r="R38" i="18" s="1"/>
  <c r="S39" i="18"/>
  <c r="S40" i="18"/>
  <c r="R40" i="18" s="1"/>
  <c r="S41" i="18"/>
  <c r="R41" i="18" s="1"/>
  <c r="S42" i="18"/>
  <c r="R42" i="18" s="1"/>
  <c r="S43" i="18"/>
  <c r="R43" i="18" s="1"/>
  <c r="S44" i="18"/>
  <c r="R44" i="18" s="1"/>
  <c r="S45" i="18"/>
  <c r="R45" i="18" s="1"/>
  <c r="S46" i="18"/>
  <c r="R46" i="18" s="1"/>
  <c r="S35" i="18"/>
  <c r="R35" i="18" s="1"/>
  <c r="S36" i="18"/>
  <c r="R36" i="18" s="1"/>
  <c r="S37" i="18"/>
  <c r="R37" i="18" s="1"/>
  <c r="S8" i="18"/>
  <c r="R8" i="18" s="1"/>
  <c r="S7" i="18"/>
  <c r="R7" i="18" s="1"/>
  <c r="S10" i="18"/>
  <c r="R10" i="18" s="1"/>
  <c r="S47" i="18"/>
  <c r="R47" i="18" s="1"/>
  <c r="S48" i="18"/>
  <c r="R48" i="18" s="1"/>
  <c r="S49" i="18"/>
  <c r="S50" i="18"/>
  <c r="S51" i="18"/>
  <c r="R51" i="18" s="1"/>
  <c r="S52" i="18"/>
  <c r="R52" i="18" s="1"/>
  <c r="S53" i="18"/>
  <c r="R53" i="18" s="1"/>
  <c r="S54" i="18"/>
  <c r="R54" i="18" s="1"/>
  <c r="S55" i="18"/>
  <c r="S56" i="18"/>
  <c r="R56" i="18" s="1"/>
  <c r="S57" i="18"/>
  <c r="R57" i="18" s="1"/>
  <c r="S58" i="18"/>
  <c r="R58" i="18" s="1"/>
  <c r="S59" i="18"/>
  <c r="R59" i="18" s="1"/>
  <c r="S60" i="18"/>
  <c r="R60" i="18" s="1"/>
  <c r="S61" i="18"/>
  <c r="R61" i="18" s="1"/>
  <c r="S62" i="18"/>
  <c r="R62" i="18" s="1"/>
  <c r="S63" i="18"/>
  <c r="R63" i="18" s="1"/>
  <c r="S64" i="18"/>
  <c r="R64" i="18" s="1"/>
  <c r="S65" i="18"/>
  <c r="S66" i="18"/>
  <c r="R66" i="18" s="1"/>
  <c r="S67" i="18"/>
  <c r="R67" i="18" s="1"/>
  <c r="S68" i="18"/>
  <c r="R68" i="18" s="1"/>
  <c r="S69" i="18"/>
  <c r="R69" i="18" s="1"/>
  <c r="S70" i="18"/>
  <c r="R70" i="18" s="1"/>
  <c r="S71" i="18"/>
  <c r="S72" i="18"/>
  <c r="R72" i="18" s="1"/>
  <c r="S73" i="18"/>
  <c r="R73" i="18" s="1"/>
  <c r="S74" i="18"/>
  <c r="R74" i="18" s="1"/>
  <c r="S75" i="18"/>
  <c r="R75" i="18" s="1"/>
  <c r="S76" i="18"/>
  <c r="R76" i="18" s="1"/>
  <c r="S77" i="18"/>
  <c r="S78" i="18"/>
  <c r="R78" i="18" s="1"/>
  <c r="S79" i="18"/>
  <c r="R79" i="18" s="1"/>
  <c r="S80" i="18"/>
  <c r="R80" i="18" s="1"/>
  <c r="S81" i="18"/>
  <c r="R81" i="18" s="1"/>
  <c r="S82" i="18"/>
  <c r="S83" i="18"/>
  <c r="R83" i="18" s="1"/>
  <c r="S84" i="18"/>
  <c r="R84" i="18" s="1"/>
  <c r="S85" i="18"/>
  <c r="R85" i="18" s="1"/>
  <c r="S86" i="18"/>
  <c r="R86" i="18" s="1"/>
  <c r="S87" i="18"/>
  <c r="R87" i="18" s="1"/>
  <c r="S88" i="18"/>
  <c r="R88" i="18" s="1"/>
  <c r="S89" i="18"/>
  <c r="R89" i="18" s="1"/>
  <c r="S90" i="18"/>
  <c r="R90" i="18" s="1"/>
  <c r="S91" i="18"/>
  <c r="R91" i="18" s="1"/>
  <c r="S92" i="18"/>
  <c r="R92" i="18" s="1"/>
  <c r="S93" i="18"/>
  <c r="R93" i="18" s="1"/>
  <c r="S94" i="18"/>
  <c r="R94" i="18" s="1"/>
  <c r="S95" i="18"/>
  <c r="R95" i="18" s="1"/>
  <c r="S96" i="18"/>
  <c r="R96" i="18" s="1"/>
  <c r="S97" i="18"/>
  <c r="S98" i="18"/>
  <c r="S99" i="18"/>
  <c r="R99" i="18" s="1"/>
  <c r="S100" i="18"/>
  <c r="R100" i="18" s="1"/>
  <c r="Y2" i="18"/>
  <c r="X2" i="18" s="1"/>
  <c r="W2" i="18"/>
  <c r="V2" i="18" s="1"/>
  <c r="U2" i="18"/>
  <c r="T2" i="18" s="1"/>
  <c r="S2" i="18"/>
  <c r="R2" i="18" s="1"/>
  <c r="Q3" i="18"/>
  <c r="P3" i="18" s="1"/>
  <c r="Q4" i="18"/>
  <c r="P4" i="18" s="1"/>
  <c r="Q5" i="18"/>
  <c r="P5" i="18" s="1"/>
  <c r="Q6" i="18"/>
  <c r="P6" i="18" s="1"/>
  <c r="Q9" i="18"/>
  <c r="P9" i="18" s="1"/>
  <c r="Q11" i="18"/>
  <c r="Q12" i="18"/>
  <c r="P12" i="18" s="1"/>
  <c r="Q13" i="18"/>
  <c r="P13" i="18" s="1"/>
  <c r="Q14" i="18"/>
  <c r="P14" i="18" s="1"/>
  <c r="Q15" i="18"/>
  <c r="P15" i="18" s="1"/>
  <c r="Q16" i="18"/>
  <c r="P16" i="18" s="1"/>
  <c r="Q17" i="18"/>
  <c r="P17" i="18" s="1"/>
  <c r="Q18" i="18"/>
  <c r="P18" i="18" s="1"/>
  <c r="Q19" i="18"/>
  <c r="P19" i="18" s="1"/>
  <c r="Q20" i="18"/>
  <c r="P20" i="18" s="1"/>
  <c r="Q21" i="18"/>
  <c r="P21" i="18" s="1"/>
  <c r="Q22" i="18"/>
  <c r="P22" i="18" s="1"/>
  <c r="Q23" i="18"/>
  <c r="P23" i="18" s="1"/>
  <c r="Q24" i="18"/>
  <c r="P24" i="18" s="1"/>
  <c r="Q25" i="18"/>
  <c r="P25" i="18" s="1"/>
  <c r="Q26" i="18"/>
  <c r="P26" i="18" s="1"/>
  <c r="Q27" i="18"/>
  <c r="P27" i="18" s="1"/>
  <c r="Q28" i="18"/>
  <c r="P28" i="18" s="1"/>
  <c r="Q29" i="18"/>
  <c r="P29" i="18" s="1"/>
  <c r="Q30" i="18"/>
  <c r="P30" i="18" s="1"/>
  <c r="Q31" i="18"/>
  <c r="P31" i="18" s="1"/>
  <c r="Q34" i="18"/>
  <c r="P34" i="18" s="1"/>
  <c r="Q32" i="18"/>
  <c r="P32" i="18" s="1"/>
  <c r="Q33" i="18"/>
  <c r="P33" i="18" s="1"/>
  <c r="Q38" i="18"/>
  <c r="P38" i="18" s="1"/>
  <c r="Q39" i="18"/>
  <c r="P39" i="18" s="1"/>
  <c r="Q40" i="18"/>
  <c r="P40" i="18" s="1"/>
  <c r="Q41" i="18"/>
  <c r="P41" i="18" s="1"/>
  <c r="Q42" i="18"/>
  <c r="P42" i="18" s="1"/>
  <c r="Q43" i="18"/>
  <c r="P43" i="18" s="1"/>
  <c r="Q44" i="18"/>
  <c r="P44" i="18" s="1"/>
  <c r="Q45" i="18"/>
  <c r="P45" i="18" s="1"/>
  <c r="Q46" i="18"/>
  <c r="P46" i="18" s="1"/>
  <c r="Q35" i="18"/>
  <c r="P35" i="18" s="1"/>
  <c r="Q36" i="18"/>
  <c r="P36" i="18" s="1"/>
  <c r="Q37" i="18"/>
  <c r="P37" i="18" s="1"/>
  <c r="Q8" i="18"/>
  <c r="P8" i="18" s="1"/>
  <c r="E2" i="18" s="1" a="1"/>
  <c r="E2" i="18" s="1"/>
  <c r="Q7" i="18"/>
  <c r="P7" i="18" s="1"/>
  <c r="Q10" i="18"/>
  <c r="P10" i="18" s="1"/>
  <c r="Q47" i="18"/>
  <c r="P47" i="18" s="1"/>
  <c r="Q48" i="18"/>
  <c r="P48" i="18" s="1"/>
  <c r="Q49" i="18"/>
  <c r="P49" i="18" s="1"/>
  <c r="Q50" i="18"/>
  <c r="P50" i="18" s="1"/>
  <c r="Q51" i="18"/>
  <c r="P51" i="18" s="1"/>
  <c r="Q52" i="18"/>
  <c r="P52" i="18" s="1"/>
  <c r="Q53" i="18"/>
  <c r="P53" i="18" s="1"/>
  <c r="Q54" i="18"/>
  <c r="P54" i="18" s="1"/>
  <c r="Q55" i="18"/>
  <c r="Q56" i="18"/>
  <c r="P56" i="18" s="1"/>
  <c r="Q57" i="18"/>
  <c r="P57" i="18" s="1"/>
  <c r="Q58" i="18"/>
  <c r="P58" i="18" s="1"/>
  <c r="Q59" i="18"/>
  <c r="P59" i="18" s="1"/>
  <c r="Q60" i="18"/>
  <c r="P60" i="18" s="1"/>
  <c r="Q61" i="18"/>
  <c r="P61" i="18" s="1"/>
  <c r="Q62" i="18"/>
  <c r="P62" i="18" s="1"/>
  <c r="Q63" i="18"/>
  <c r="P63" i="18" s="1"/>
  <c r="Q64" i="18"/>
  <c r="P64" i="18" s="1"/>
  <c r="Q65" i="18"/>
  <c r="P65" i="18" s="1"/>
  <c r="Q66" i="18"/>
  <c r="P66" i="18" s="1"/>
  <c r="Q67" i="18"/>
  <c r="P67" i="18" s="1"/>
  <c r="Q68" i="18"/>
  <c r="P68" i="18" s="1"/>
  <c r="Q69" i="18"/>
  <c r="P69" i="18" s="1"/>
  <c r="Q70" i="18"/>
  <c r="P70" i="18" s="1"/>
  <c r="Q71" i="18"/>
  <c r="P71" i="18" s="1"/>
  <c r="Q72" i="18"/>
  <c r="P72" i="18" s="1"/>
  <c r="Q73" i="18"/>
  <c r="P73" i="18" s="1"/>
  <c r="Q74" i="18"/>
  <c r="P74" i="18" s="1"/>
  <c r="Q75" i="18"/>
  <c r="P75" i="18" s="1"/>
  <c r="Q76" i="18"/>
  <c r="P76" i="18" s="1"/>
  <c r="Q77" i="18"/>
  <c r="P77" i="18" s="1"/>
  <c r="Q78" i="18"/>
  <c r="P78" i="18" s="1"/>
  <c r="Q79" i="18"/>
  <c r="P79" i="18" s="1"/>
  <c r="Q80" i="18"/>
  <c r="P80" i="18" s="1"/>
  <c r="Q81" i="18"/>
  <c r="Q82" i="18"/>
  <c r="P82" i="18" s="1"/>
  <c r="Q83" i="18"/>
  <c r="P83" i="18" s="1"/>
  <c r="Q84" i="18"/>
  <c r="P84" i="18" s="1"/>
  <c r="Q85" i="18"/>
  <c r="P85" i="18" s="1"/>
  <c r="Q86" i="18"/>
  <c r="P86" i="18" s="1"/>
  <c r="Q87" i="18"/>
  <c r="P87" i="18" s="1"/>
  <c r="Q88" i="18"/>
  <c r="P88" i="18" s="1"/>
  <c r="Q89" i="18"/>
  <c r="P89" i="18" s="1"/>
  <c r="Q90" i="18"/>
  <c r="P90" i="18" s="1"/>
  <c r="Q91" i="18"/>
  <c r="P91" i="18" s="1"/>
  <c r="Q92" i="18"/>
  <c r="P92" i="18" s="1"/>
  <c r="Q93" i="18"/>
  <c r="P93" i="18" s="1"/>
  <c r="Q94" i="18"/>
  <c r="P94" i="18" s="1"/>
  <c r="Q95" i="18"/>
  <c r="P95" i="18" s="1"/>
  <c r="Q96" i="18"/>
  <c r="P96" i="18" s="1"/>
  <c r="Q97" i="18"/>
  <c r="P97" i="18" s="1"/>
  <c r="Q98" i="18"/>
  <c r="P98" i="18" s="1"/>
  <c r="Q99" i="18"/>
  <c r="P99" i="18" s="1"/>
  <c r="Q100" i="18"/>
  <c r="P100" i="18" s="1"/>
  <c r="Q2" i="18"/>
  <c r="P2" i="18" s="1"/>
  <c r="B28" i="18" a="1"/>
  <c r="B28" i="18" s="1"/>
  <c r="X90" i="18"/>
  <c r="X89" i="18"/>
  <c r="X88" i="18"/>
  <c r="X87" i="18"/>
  <c r="X8" i="18"/>
  <c r="X13" i="18"/>
  <c r="T99" i="18"/>
  <c r="R98" i="18"/>
  <c r="R97" i="18"/>
  <c r="V85" i="18"/>
  <c r="T83" i="18"/>
  <c r="R82" i="18"/>
  <c r="P81" i="18"/>
  <c r="T79" i="18"/>
  <c r="R77" i="18"/>
  <c r="T73" i="18"/>
  <c r="V71" i="18"/>
  <c r="R71" i="18"/>
  <c r="V69" i="18"/>
  <c r="T68" i="18"/>
  <c r="R65" i="18"/>
  <c r="V60" i="18"/>
  <c r="V59" i="18"/>
  <c r="T55" i="18"/>
  <c r="R55" i="18"/>
  <c r="P55" i="18"/>
  <c r="V53" i="18"/>
  <c r="R50" i="18"/>
  <c r="R49" i="18"/>
  <c r="V37" i="18"/>
  <c r="T46" i="18"/>
  <c r="V43" i="18"/>
  <c r="T43" i="18"/>
  <c r="R39" i="18"/>
  <c r="V31" i="18"/>
  <c r="V24" i="18"/>
  <c r="T22" i="18"/>
  <c r="V17" i="18"/>
  <c r="T12" i="18"/>
  <c r="R9" i="18"/>
  <c r="V6" i="18"/>
  <c r="V5" i="18"/>
  <c r="T5" i="18"/>
  <c r="T4" i="18"/>
  <c r="T3" i="18"/>
  <c r="E3" i="18" l="1" a="1"/>
  <c r="E3" i="18" s="1"/>
  <c r="E4" i="18" s="1" a="1"/>
  <c r="E4" i="18" s="1"/>
  <c r="A21" i="18" a="1"/>
  <c r="A21" i="18" s="1"/>
  <c r="B21" i="18" a="1"/>
  <c r="B21" i="18" s="1"/>
  <c r="A22" i="18" a="1"/>
  <c r="A22" i="18" s="1"/>
  <c r="A26" i="18" a="1"/>
  <c r="A26" i="18" s="1"/>
  <c r="B27" i="18" a="1"/>
  <c r="B27" i="18" s="1"/>
  <c r="A28" i="18" a="1"/>
  <c r="A28" i="18" s="1"/>
  <c r="B22" i="18" a="1"/>
  <c r="B22" i="18" s="1"/>
  <c r="A23" i="18" a="1"/>
  <c r="A23" i="18" s="1"/>
  <c r="A24" i="18" a="1"/>
  <c r="A24" i="18" s="1"/>
  <c r="B24" i="18" a="1"/>
  <c r="B24" i="18" s="1"/>
  <c r="A25" i="18" a="1"/>
  <c r="A25" i="18" s="1"/>
  <c r="B25" i="18" a="1"/>
  <c r="B25" i="18" s="1"/>
  <c r="A27" i="18" a="1"/>
  <c r="A27" i="18" s="1"/>
  <c r="A20" i="18" a="1"/>
  <c r="A20" i="18" s="1"/>
  <c r="B16" i="18" a="1"/>
  <c r="B16" i="18" s="1"/>
  <c r="B15" i="18" a="1"/>
  <c r="B15" i="18" s="1"/>
  <c r="A15" i="18" a="1"/>
  <c r="A15" i="18" s="1"/>
  <c r="A16" i="18" a="1"/>
  <c r="A16" i="18" s="1"/>
  <c r="B18" i="18" a="1"/>
  <c r="B18" i="18" s="1"/>
  <c r="A17" i="18" a="1"/>
  <c r="A17" i="18" s="1"/>
  <c r="A14" i="18" a="1"/>
  <c r="A14" i="18" s="1"/>
  <c r="B19" i="18" a="1"/>
  <c r="B19" i="18" s="1"/>
  <c r="A19" i="18" a="1"/>
  <c r="A19" i="18" s="1"/>
  <c r="A18" i="18" a="1"/>
  <c r="A18" i="18" s="1"/>
  <c r="E5" i="18" l="1" a="1"/>
  <c r="E5" i="18" s="1"/>
  <c r="E6" i="18" s="1" a="1"/>
  <c r="E6" i="18" s="1"/>
  <c r="E7" i="18" s="1" a="1"/>
  <c r="E7" i="18" s="1"/>
  <c r="E8" i="18" s="1" a="1"/>
  <c r="E8" i="18" s="1"/>
  <c r="E9" i="18" s="1" a="1"/>
  <c r="E9" i="18" s="1"/>
  <c r="E10" i="18" s="1" a="1"/>
  <c r="E10" i="18" s="1"/>
  <c r="E11" i="18" s="1" a="1"/>
  <c r="E11" i="18" s="1"/>
  <c r="E12" i="18" s="1" a="1"/>
  <c r="E12" i="18" s="1"/>
  <c r="E13" i="18" s="1" a="1"/>
  <c r="E13" i="18" s="1"/>
  <c r="E14" i="18" s="1" a="1"/>
  <c r="E14" i="18" s="1"/>
  <c r="E15" i="18" s="1" a="1"/>
  <c r="E15" i="18" s="1"/>
  <c r="E16" i="18" s="1" a="1"/>
  <c r="E16" i="18" s="1"/>
  <c r="E17" i="18" s="1" a="1"/>
  <c r="E17" i="18" s="1"/>
  <c r="E18" i="18" s="1" a="1"/>
  <c r="E18" i="18" s="1"/>
  <c r="E19" i="18" s="1" a="1"/>
  <c r="E19" i="18" s="1"/>
  <c r="E20" i="18" s="1" a="1"/>
  <c r="E20" i="18" s="1"/>
  <c r="E21" i="18" s="1" a="1"/>
  <c r="E21" i="18" s="1"/>
  <c r="E22" i="18" s="1" a="1"/>
  <c r="E22" i="18" s="1"/>
  <c r="E23" i="18" s="1" a="1"/>
  <c r="E23" i="18" s="1"/>
  <c r="E24" i="18" s="1" a="1"/>
  <c r="E24" i="18" s="1"/>
  <c r="E25" i="18" s="1" a="1"/>
  <c r="E25" i="18" s="1"/>
  <c r="E26" i="18" s="1" a="1"/>
  <c r="E26" i="18" s="1"/>
  <c r="E27" i="18" s="1" a="1"/>
  <c r="E27" i="18" s="1"/>
  <c r="E28" i="18" s="1" a="1"/>
  <c r="E28" i="18" s="1"/>
  <c r="E29" i="18" s="1" a="1"/>
  <c r="E29" i="18" s="1"/>
  <c r="E30" i="18" s="1" a="1"/>
  <c r="E30" i="18" s="1"/>
  <c r="E31" i="18" s="1" a="1"/>
  <c r="E31" i="18" s="1"/>
  <c r="E32" i="18" s="1" a="1"/>
  <c r="E32" i="18" s="1"/>
  <c r="E33" i="18" s="1" a="1"/>
  <c r="E33" i="18" s="1"/>
  <c r="E34" i="18" s="1" a="1"/>
  <c r="E34" i="18" s="1"/>
  <c r="E35" i="18" s="1" a="1"/>
  <c r="E35" i="18" s="1"/>
  <c r="E36" i="18" s="1" a="1"/>
  <c r="E36" i="18" s="1"/>
  <c r="E37" i="18" s="1" a="1"/>
  <c r="E37" i="18" s="1"/>
  <c r="E38" i="18" s="1" a="1"/>
  <c r="E38" i="18" s="1"/>
  <c r="E39" i="18" s="1" a="1"/>
  <c r="E39" i="18" s="1"/>
  <c r="E40" i="18" s="1" a="1"/>
  <c r="E40" i="18" s="1"/>
  <c r="E41" i="18" s="1" a="1"/>
  <c r="E41" i="18" s="1"/>
  <c r="E42" i="18" s="1" a="1"/>
  <c r="E42" i="18" s="1"/>
  <c r="E43" i="18" s="1" a="1"/>
  <c r="E43" i="18" s="1"/>
  <c r="E44" i="18" s="1" a="1"/>
  <c r="E44" i="18" s="1"/>
  <c r="E45" i="18" s="1" a="1"/>
  <c r="E45" i="18" s="1"/>
  <c r="E46" i="18" s="1" a="1"/>
  <c r="E46" i="18" s="1"/>
  <c r="E47" i="18" s="1" a="1"/>
  <c r="E47" i="18" s="1"/>
  <c r="E48" i="18" s="1" a="1"/>
  <c r="E48" i="18" s="1"/>
  <c r="E49" i="18" s="1" a="1"/>
  <c r="E49" i="18" s="1"/>
  <c r="E50" i="18" s="1" a="1"/>
  <c r="E50" i="18" s="1"/>
  <c r="E51" i="18" s="1" a="1"/>
  <c r="E51" i="18" s="1"/>
  <c r="E52" i="18" s="1" a="1"/>
  <c r="E52" i="18" s="1"/>
  <c r="E53" i="18" s="1" a="1"/>
  <c r="E53" i="18" s="1"/>
  <c r="E54" i="18" s="1" a="1"/>
  <c r="E54" i="18" s="1"/>
  <c r="E55" i="18" s="1" a="1"/>
  <c r="E55" i="18" s="1"/>
  <c r="E56" i="18" s="1" a="1"/>
  <c r="E56" i="18" s="1"/>
  <c r="E57" i="18" s="1" a="1"/>
  <c r="E57" i="18" s="1"/>
  <c r="E58" i="18" s="1" a="1"/>
  <c r="E58" i="18" s="1"/>
  <c r="E59" i="18" s="1" a="1"/>
  <c r="E59" i="18" s="1"/>
  <c r="E60" i="18" s="1" a="1"/>
  <c r="E60" i="18" s="1"/>
  <c r="E61" i="18" s="1" a="1"/>
  <c r="E61" i="18" s="1"/>
  <c r="E62" i="18" s="1" a="1"/>
  <c r="E62" i="18" s="1"/>
  <c r="E63" i="18" s="1" a="1"/>
  <c r="E63" i="18" s="1"/>
  <c r="E64" i="18" s="1" a="1"/>
  <c r="E64" i="18" s="1"/>
  <c r="E65" i="18" s="1" a="1"/>
  <c r="E65" i="18" s="1"/>
  <c r="E66" i="18" s="1" a="1"/>
  <c r="E66" i="18" s="1"/>
  <c r="E67" i="18" s="1" a="1"/>
  <c r="E67" i="18" s="1"/>
  <c r="E68" i="18" s="1" a="1"/>
  <c r="E68" i="18" s="1"/>
  <c r="E69" i="18" s="1" a="1"/>
  <c r="E69" i="18" s="1"/>
  <c r="E70" i="18" s="1" a="1"/>
  <c r="E70" i="18" s="1"/>
  <c r="E71" i="18" s="1" a="1"/>
  <c r="E71" i="18" s="1"/>
  <c r="E72" i="18" s="1" a="1"/>
  <c r="E72" i="18" s="1"/>
  <c r="E73" i="18" s="1" a="1"/>
  <c r="E73" i="18" s="1"/>
  <c r="E74" i="18" s="1" a="1"/>
  <c r="E74" i="18" s="1"/>
  <c r="E75" i="18" s="1" a="1"/>
  <c r="E75" i="18" s="1"/>
  <c r="E76" i="18" s="1" a="1"/>
  <c r="E76" i="18" s="1"/>
  <c r="E77" i="18" s="1" a="1"/>
  <c r="E77" i="18" s="1"/>
  <c r="E78" i="18" s="1" a="1"/>
  <c r="E78" i="18" s="1"/>
  <c r="E79" i="18" s="1" a="1"/>
  <c r="E79" i="18" s="1"/>
  <c r="E80" i="18" s="1" a="1"/>
  <c r="E80" i="18" s="1"/>
  <c r="E81" i="18" s="1" a="1"/>
  <c r="E81" i="18" s="1"/>
  <c r="E82" i="18" s="1" a="1"/>
  <c r="E82" i="18" s="1"/>
  <c r="E83" i="18" s="1" a="1"/>
  <c r="E83" i="18" s="1"/>
  <c r="E84" i="18" s="1" a="1"/>
  <c r="E84" i="18" s="1"/>
  <c r="E85" i="18" s="1" a="1"/>
  <c r="E85" i="18" s="1"/>
  <c r="E86" i="18" s="1" a="1"/>
  <c r="E86" i="18" s="1"/>
  <c r="E87" i="18" s="1" a="1"/>
  <c r="E87" i="18" s="1"/>
  <c r="E88" i="18" s="1" a="1"/>
  <c r="E88" i="18" s="1"/>
  <c r="E89" i="18" s="1" a="1"/>
  <c r="E89" i="18" s="1"/>
  <c r="E90" i="18" s="1" a="1"/>
  <c r="E90" i="18" s="1"/>
  <c r="E91" i="18" s="1" a="1"/>
  <c r="E91" i="18" s="1"/>
  <c r="E92" i="18" s="1" a="1"/>
  <c r="E92" i="18" s="1"/>
  <c r="E93" i="18" s="1" a="1"/>
  <c r="E93" i="18" s="1"/>
  <c r="E94" i="18" s="1" a="1"/>
  <c r="E94" i="18" s="1"/>
  <c r="E95" i="18" s="1" a="1"/>
  <c r="E95" i="18" s="1"/>
  <c r="E96" i="18" s="1" a="1"/>
  <c r="E96" i="18" s="1"/>
  <c r="E97" i="18" s="1" a="1"/>
  <c r="E97" i="18" s="1"/>
  <c r="E98" i="18" s="1" a="1"/>
  <c r="E98" i="18" s="1"/>
  <c r="E99" i="18" s="1" a="1"/>
  <c r="E99" i="18" s="1"/>
  <c r="E100" i="18" s="1" a="1"/>
  <c r="E100" i="18" s="1"/>
  <c r="F2" i="18" a="1"/>
  <c r="F2" i="18" s="1"/>
  <c r="G2" i="18" s="1" a="1"/>
  <c r="G2" i="18" s="1"/>
  <c r="A36" i="1" a="1"/>
  <c r="A36" i="1" s="1"/>
  <c r="C36" i="1" a="1"/>
  <c r="C36" i="1" s="1"/>
  <c r="A37" i="1" a="1"/>
  <c r="A37" i="1" s="1"/>
  <c r="A38" i="1" a="1"/>
  <c r="A38" i="1" s="1"/>
  <c r="A39" i="1" a="1"/>
  <c r="A39" i="1" s="1"/>
  <c r="A40" i="1" a="1"/>
  <c r="A40" i="1" s="1"/>
  <c r="A41" i="1" a="1"/>
  <c r="A41" i="1" s="1"/>
  <c r="A42" i="1" a="1"/>
  <c r="A42" i="1" s="1"/>
  <c r="A43" i="1" a="1"/>
  <c r="A43" i="1" s="1"/>
  <c r="A44" i="1" a="1"/>
  <c r="A44" i="1" s="1"/>
  <c r="D57" i="1" a="1"/>
  <c r="D57" i="1" s="1"/>
  <c r="E57" i="1" a="1"/>
  <c r="E57" i="1" s="1"/>
  <c r="F57" i="1" a="1"/>
  <c r="F57" i="1" s="1"/>
  <c r="G57" i="1" a="1"/>
  <c r="G57" i="1" s="1"/>
  <c r="H57" i="1" a="1"/>
  <c r="H57" i="1" s="1"/>
  <c r="I57" i="1" a="1"/>
  <c r="I57" i="1" s="1"/>
  <c r="J57" i="1" a="1"/>
  <c r="J57" i="1" s="1"/>
  <c r="D58" i="1" a="1"/>
  <c r="D58" i="1" s="1"/>
  <c r="E58" i="1" a="1"/>
  <c r="E58" i="1" s="1"/>
  <c r="F58" i="1" a="1"/>
  <c r="F58" i="1" s="1"/>
  <c r="G58" i="1" a="1"/>
  <c r="G58" i="1" s="1"/>
  <c r="R17" i="2" s="1"/>
  <c r="H58" i="1" a="1"/>
  <c r="H58" i="1" s="1"/>
  <c r="I58" i="1" a="1"/>
  <c r="I58" i="1" s="1"/>
  <c r="J58" i="1" a="1"/>
  <c r="J58" i="1" s="1"/>
  <c r="D60" i="1" a="1"/>
  <c r="D60" i="1" s="1"/>
  <c r="E60" i="1" a="1"/>
  <c r="E60" i="1" s="1"/>
  <c r="F60" i="1" a="1"/>
  <c r="F60" i="1" s="1"/>
  <c r="G60" i="1" a="1"/>
  <c r="G60" i="1" s="1"/>
  <c r="H60" i="1" a="1"/>
  <c r="H60" i="1" s="1"/>
  <c r="I60" i="1" a="1"/>
  <c r="I60" i="1" s="1"/>
  <c r="J60" i="1" a="1"/>
  <c r="J60" i="1" s="1"/>
  <c r="D61" i="1" a="1"/>
  <c r="D61" i="1" s="1"/>
  <c r="E61" i="1" a="1"/>
  <c r="E61" i="1" s="1"/>
  <c r="F61" i="1" a="1"/>
  <c r="F61" i="1" s="1"/>
  <c r="G61" i="1" a="1"/>
  <c r="G61" i="1" s="1"/>
  <c r="H61" i="1" a="1"/>
  <c r="H61" i="1" s="1"/>
  <c r="I61" i="1" a="1"/>
  <c r="I61" i="1" s="1"/>
  <c r="J61" i="1" a="1"/>
  <c r="J61" i="1" s="1"/>
  <c r="D63" i="1" a="1"/>
  <c r="D63" i="1" s="1"/>
  <c r="E63" i="1" a="1"/>
  <c r="E63" i="1" s="1"/>
  <c r="F63" i="1" a="1"/>
  <c r="F63" i="1" s="1"/>
  <c r="G63" i="1" a="1"/>
  <c r="G63" i="1" s="1"/>
  <c r="H63" i="1" a="1"/>
  <c r="H63" i="1" s="1"/>
  <c r="I63" i="1" a="1"/>
  <c r="I63" i="1" s="1"/>
  <c r="J63" i="1" a="1"/>
  <c r="J63" i="1" s="1"/>
  <c r="D64" i="1" a="1"/>
  <c r="D64" i="1" s="1"/>
  <c r="E64" i="1" a="1"/>
  <c r="E64" i="1" s="1"/>
  <c r="F64" i="1" a="1"/>
  <c r="F64" i="1" s="1"/>
  <c r="G64" i="1" a="1"/>
  <c r="G64" i="1" s="1"/>
  <c r="H64" i="1" a="1"/>
  <c r="H64" i="1" s="1"/>
  <c r="I64" i="1" a="1"/>
  <c r="I64" i="1" s="1"/>
  <c r="J64" i="1" a="1"/>
  <c r="J64" i="1" s="1"/>
  <c r="F3" i="18" l="1" a="1"/>
  <c r="F3" i="18" s="1"/>
  <c r="G3" i="18" s="1" a="1"/>
  <c r="G3" i="18" s="1"/>
  <c r="E43" i="14" a="1"/>
  <c r="E43" i="14" s="1"/>
  <c r="F4" i="18" l="1" a="1"/>
  <c r="F4" i="18" s="1"/>
  <c r="G4" i="18" s="1" a="1"/>
  <c r="G4" i="18" s="1"/>
  <c r="F5" i="18" l="1" a="1"/>
  <c r="F5" i="18" s="1"/>
  <c r="G5" i="18" s="1" a="1"/>
  <c r="G5" i="18" s="1"/>
  <c r="F6" i="18" a="1"/>
  <c r="F6" i="18" s="1"/>
  <c r="G6" i="18" s="1" a="1"/>
  <c r="G6" i="18" s="1"/>
  <c r="E4" i="2"/>
  <c r="A45" i="1" l="1" a="1"/>
  <c r="A45" i="1" s="1"/>
  <c r="F7" i="18" a="1"/>
  <c r="F7" i="18" s="1"/>
  <c r="G7" i="18" s="1" a="1"/>
  <c r="G7" i="18" s="1"/>
  <c r="A47" i="1" a="1"/>
  <c r="A47" i="1" s="1"/>
  <c r="A46" i="1" a="1"/>
  <c r="A46" i="1" s="1"/>
  <c r="C1" i="2"/>
  <c r="D1" i="2" s="1"/>
  <c r="E1" i="2" s="1"/>
  <c r="F1" i="2" s="1"/>
  <c r="G1" i="2" s="1"/>
  <c r="H1" i="2" s="1"/>
  <c r="I1" i="2" s="1"/>
  <c r="J1" i="2" s="1"/>
  <c r="K1" i="2" s="1"/>
  <c r="L1" i="2" s="1"/>
  <c r="M1" i="2" s="1"/>
  <c r="N1" i="2" s="1"/>
  <c r="O1" i="2" s="1"/>
  <c r="P1" i="2" s="1"/>
  <c r="Q1" i="2" s="1"/>
  <c r="R1" i="2" s="1"/>
  <c r="S1" i="2" s="1"/>
  <c r="T1" i="2" s="1"/>
  <c r="U1" i="2" s="1"/>
  <c r="V1" i="2" s="1"/>
  <c r="W1" i="2" s="1"/>
  <c r="X1" i="2" s="1"/>
  <c r="Y1" i="2" s="1"/>
  <c r="Z1" i="2" s="1"/>
  <c r="AA1" i="2" s="1"/>
  <c r="AB1" i="2" s="1"/>
  <c r="AC1" i="2" s="1"/>
  <c r="AD1" i="2" s="1"/>
  <c r="AE1" i="2" s="1"/>
  <c r="AF1" i="2" s="1"/>
  <c r="AG1" i="2" s="1"/>
  <c r="AH1" i="2" s="1"/>
  <c r="AI1" i="2" s="1"/>
  <c r="AJ1" i="2" s="1"/>
  <c r="AK1" i="2" s="1"/>
  <c r="AL1" i="2" s="1"/>
  <c r="AM1" i="2" s="1"/>
  <c r="AN1" i="2" s="1"/>
  <c r="AO1" i="2" s="1"/>
  <c r="AP1" i="2" s="1"/>
  <c r="AQ1" i="2" s="1"/>
  <c r="AR1" i="2" s="1"/>
  <c r="AS1" i="2" s="1"/>
  <c r="AT1" i="2" s="1"/>
  <c r="AU1" i="2" s="1"/>
  <c r="AV1" i="2" s="1"/>
  <c r="AW1" i="2" s="1"/>
  <c r="AX1" i="2" s="1"/>
  <c r="AY1" i="2" s="1"/>
  <c r="AZ1" i="2" s="1"/>
  <c r="BA1" i="2" s="1"/>
  <c r="BB1" i="2" s="1"/>
  <c r="BC1" i="2" s="1"/>
  <c r="BD1" i="2" s="1"/>
  <c r="BE1" i="2" s="1"/>
  <c r="BF1" i="2" s="1"/>
  <c r="BG1" i="2" s="1"/>
  <c r="BH1" i="2" s="1"/>
  <c r="BI1" i="2" s="1"/>
  <c r="BJ1" i="2" s="1"/>
  <c r="BK1" i="2" s="1"/>
  <c r="BL1" i="2" s="1"/>
  <c r="B30" i="14"/>
  <c r="C19" i="14"/>
  <c r="C4" i="14"/>
  <c r="C3" i="14"/>
  <c r="F8" i="18" l="1" a="1"/>
  <c r="F8" i="18" s="1"/>
  <c r="G8" i="18" s="1" a="1"/>
  <c r="G8" i="18" s="1"/>
  <c r="F9" i="18" l="1" a="1"/>
  <c r="F9" i="18" s="1"/>
  <c r="G9" i="18" s="1" a="1"/>
  <c r="G9" i="18" s="1"/>
  <c r="F10" i="18" l="1" a="1"/>
  <c r="F10" i="18" s="1"/>
  <c r="G10" i="18" s="1" a="1"/>
  <c r="G10" i="18" s="1"/>
  <c r="D82" i="10"/>
  <c r="D81" i="10"/>
  <c r="D78" i="10"/>
  <c r="D77" i="10"/>
  <c r="C82" i="10"/>
  <c r="C81" i="10"/>
  <c r="D80" i="10"/>
  <c r="F78" i="10"/>
  <c r="C76" i="10"/>
  <c r="K77" i="10"/>
  <c r="L77" i="10" s="1"/>
  <c r="N77" i="10"/>
  <c r="O77" i="10" s="1"/>
  <c r="L78" i="10"/>
  <c r="E77" i="10"/>
  <c r="G77" i="10" s="1"/>
  <c r="J79" i="10"/>
  <c r="P78" i="10"/>
  <c r="P80" i="10"/>
  <c r="P79" i="10"/>
  <c r="P76" i="10"/>
  <c r="O80" i="10"/>
  <c r="O79" i="10"/>
  <c r="O76" i="10"/>
  <c r="M80" i="10"/>
  <c r="M79" i="10"/>
  <c r="M76" i="10"/>
  <c r="L80" i="10"/>
  <c r="L79" i="10"/>
  <c r="L76" i="10"/>
  <c r="J81" i="10"/>
  <c r="J78" i="10"/>
  <c r="J77" i="10"/>
  <c r="J76" i="10"/>
  <c r="I81" i="10"/>
  <c r="I78" i="10"/>
  <c r="I77" i="10"/>
  <c r="I76" i="10"/>
  <c r="G80" i="10"/>
  <c r="G79" i="10"/>
  <c r="G76" i="10"/>
  <c r="F80" i="10"/>
  <c r="F79" i="10"/>
  <c r="F76" i="10"/>
  <c r="C78" i="10"/>
  <c r="C77" i="10"/>
  <c r="BC15" i="2"/>
  <c r="AO8" i="2"/>
  <c r="AN8" i="2"/>
  <c r="AM8" i="2"/>
  <c r="AG8" i="2"/>
  <c r="AF8" i="2"/>
  <c r="AD8" i="2"/>
  <c r="AC8" i="2"/>
  <c r="M39" i="10"/>
  <c r="AP15" i="2"/>
  <c r="C26" i="12"/>
  <c r="D79" i="10" l="1"/>
  <c r="C79" i="10"/>
  <c r="C80" i="10"/>
  <c r="D76" i="10"/>
  <c r="O78" i="10"/>
  <c r="M78" i="10"/>
  <c r="G78" i="10"/>
  <c r="P77" i="10"/>
  <c r="M77" i="10"/>
  <c r="I79" i="10"/>
  <c r="F77" i="10"/>
  <c r="BC5" i="2" l="1"/>
  <c r="F11" i="18" a="1"/>
  <c r="F11" i="18" s="1"/>
  <c r="G11" i="18" s="1" a="1"/>
  <c r="G11" i="18" s="1"/>
  <c r="F12" i="18" a="1"/>
  <c r="F12" i="18" s="1"/>
  <c r="G12" i="18" s="1" a="1"/>
  <c r="G12" i="18" s="1"/>
  <c r="F13" i="18" l="1" a="1"/>
  <c r="F13" i="18" s="1"/>
  <c r="G13" i="18" s="1" a="1"/>
  <c r="G13" i="18" s="1"/>
  <c r="I12" i="8"/>
  <c r="I11" i="8"/>
  <c r="W36" i="10"/>
  <c r="F14" i="18" l="1" a="1"/>
  <c r="F14" i="18" s="1"/>
  <c r="G14" i="18" s="1" a="1"/>
  <c r="G14" i="18" s="1"/>
  <c r="B55" i="10"/>
  <c r="U14" i="10"/>
  <c r="U10" i="10"/>
  <c r="F15" i="18" l="1" a="1"/>
  <c r="F15" i="18" s="1"/>
  <c r="G15" i="18" s="1" a="1"/>
  <c r="G15" i="18" s="1"/>
  <c r="BF8" i="2"/>
  <c r="J10" i="8" s="1"/>
  <c r="BE7" i="2"/>
  <c r="I9" i="8" s="1"/>
  <c r="K9" i="8"/>
  <c r="K10" i="8"/>
  <c r="BF7" i="2"/>
  <c r="J9" i="8" s="1"/>
  <c r="G41" i="1" a="1"/>
  <c r="G41" i="1" s="1"/>
  <c r="F16" i="18" l="1" a="1"/>
  <c r="F16" i="18" s="1"/>
  <c r="G16" i="18" s="1" a="1"/>
  <c r="G16" i="18" s="1"/>
  <c r="F17" i="18" l="1" a="1"/>
  <c r="F17" i="18" s="1"/>
  <c r="G17" i="18" s="1" a="1"/>
  <c r="G17" i="18" s="1"/>
  <c r="F18" i="18" l="1" a="1"/>
  <c r="F18" i="18" s="1"/>
  <c r="G18" i="18" s="1" a="1"/>
  <c r="G18" i="18" s="1"/>
  <c r="F19" i="18" l="1" a="1"/>
  <c r="F19" i="18" s="1"/>
  <c r="G19" i="18" s="1" a="1"/>
  <c r="G19" i="18" s="1"/>
  <c r="F20" i="18" l="1" a="1"/>
  <c r="F20" i="18" s="1"/>
  <c r="G20" i="18" s="1" a="1"/>
  <c r="G20" i="18" s="1"/>
  <c r="AH17" i="2"/>
  <c r="AH18" i="2"/>
  <c r="AC46" i="10"/>
  <c r="H3" i="8"/>
  <c r="BC11" i="2"/>
  <c r="BC6" i="2"/>
  <c r="BC3" i="2"/>
  <c r="BC4" i="2"/>
  <c r="AC31" i="10"/>
  <c r="BC12" i="2"/>
  <c r="BC10" i="2"/>
  <c r="BC9" i="2"/>
  <c r="F21" i="18" l="1" a="1"/>
  <c r="F21" i="18" s="1"/>
  <c r="G21" i="18" s="1" a="1"/>
  <c r="G21" i="18" s="1"/>
  <c r="BC7" i="2"/>
  <c r="M4" i="8" s="1"/>
  <c r="AH7" i="2"/>
  <c r="AH19" i="2"/>
  <c r="BC14" i="2"/>
  <c r="BC13" i="2"/>
  <c r="BC8" i="2"/>
  <c r="AH5" i="2"/>
  <c r="E3" i="8"/>
  <c r="AA31" i="10"/>
  <c r="H31" i="10"/>
  <c r="D31" i="10"/>
  <c r="L31" i="10"/>
  <c r="U31" i="10"/>
  <c r="W31" i="10"/>
  <c r="S31" i="10"/>
  <c r="Y31" i="10"/>
  <c r="K31" i="10"/>
  <c r="M31" i="10"/>
  <c r="O31" i="10"/>
  <c r="F31" i="10"/>
  <c r="I31" i="10"/>
  <c r="Q31" i="10"/>
  <c r="J31" i="10"/>
  <c r="AE31" i="10"/>
  <c r="G39" i="1" a="1"/>
  <c r="G39" i="1" s="1"/>
  <c r="F22" i="18" l="1" a="1"/>
  <c r="F22" i="18" s="1"/>
  <c r="G22" i="18" s="1" a="1"/>
  <c r="G22" i="18" s="1"/>
  <c r="M54" i="1" a="1"/>
  <c r="M54" i="1" s="1"/>
  <c r="D3" i="8"/>
  <c r="G4" i="2"/>
  <c r="G6" i="2"/>
  <c r="G8" i="2"/>
  <c r="G9" i="2"/>
  <c r="G10" i="2"/>
  <c r="G13" i="2"/>
  <c r="E8" i="2"/>
  <c r="E6" i="2"/>
  <c r="E9" i="2"/>
  <c r="E10" i="2"/>
  <c r="E13" i="2"/>
  <c r="G18" i="2"/>
  <c r="E18" i="2"/>
  <c r="R18" i="2"/>
  <c r="R13" i="2"/>
  <c r="R10" i="2"/>
  <c r="R9" i="2"/>
  <c r="R8" i="2"/>
  <c r="R6" i="2"/>
  <c r="R4" i="2"/>
  <c r="P18" i="2"/>
  <c r="P13" i="2"/>
  <c r="P10" i="2"/>
  <c r="P9" i="2"/>
  <c r="P8" i="2"/>
  <c r="P6" i="2"/>
  <c r="P4" i="2"/>
  <c r="C44" i="1" l="1" a="1"/>
  <c r="C44" i="1" s="1"/>
  <c r="C43" i="1" a="1"/>
  <c r="C43" i="1" s="1"/>
  <c r="G37" i="1" a="1"/>
  <c r="G37" i="1" s="1"/>
  <c r="F23" i="18" a="1"/>
  <c r="F23" i="18" s="1"/>
  <c r="G23" i="18" s="1" a="1"/>
  <c r="G23" i="18" s="1"/>
  <c r="M51" i="1" a="1"/>
  <c r="M51" i="1" s="1"/>
  <c r="AD15" i="2"/>
  <c r="AC15" i="2"/>
  <c r="AB15" i="2"/>
  <c r="AB5" i="2"/>
  <c r="AD5" i="2"/>
  <c r="AB7" i="2"/>
  <c r="AD7" i="2"/>
  <c r="AD13" i="2"/>
  <c r="AD14" i="2"/>
  <c r="AD21" i="2"/>
  <c r="AD19" i="2"/>
  <c r="AB19" i="2"/>
  <c r="AC19" i="2"/>
  <c r="AC7" i="2"/>
  <c r="F24" i="18" l="1" a="1"/>
  <c r="F24" i="18" s="1"/>
  <c r="G24" i="18" s="1" a="1"/>
  <c r="G24" i="18" s="1"/>
  <c r="C25" i="14" a="1"/>
  <c r="C25" i="14" s="1"/>
  <c r="A6" i="8" a="1"/>
  <c r="A6" i="8" s="1"/>
  <c r="M27" i="10"/>
  <c r="K27" i="10"/>
  <c r="J27" i="10"/>
  <c r="I27" i="10"/>
  <c r="AE47" i="10"/>
  <c r="AA47" i="10"/>
  <c r="Y47" i="10"/>
  <c r="W47" i="10"/>
  <c r="U47" i="10"/>
  <c r="S47" i="10"/>
  <c r="Q47" i="10"/>
  <c r="O47" i="10"/>
  <c r="M47" i="10"/>
  <c r="L47" i="10"/>
  <c r="K47" i="10"/>
  <c r="J47" i="10"/>
  <c r="I47" i="10"/>
  <c r="H47" i="10"/>
  <c r="F47" i="10"/>
  <c r="D47" i="10"/>
  <c r="B47" i="10"/>
  <c r="G40" i="1" a="1"/>
  <c r="G40" i="1" s="1"/>
  <c r="G38" i="1" a="1"/>
  <c r="G38" i="1" s="1"/>
  <c r="AC5" i="2"/>
  <c r="F25" i="18" l="1" a="1"/>
  <c r="F25" i="18" s="1"/>
  <c r="G25" i="18" s="1" a="1"/>
  <c r="G25" i="18" s="1"/>
  <c r="F27" i="10"/>
  <c r="AC27" i="10"/>
  <c r="BD3" i="2"/>
  <c r="H4" i="8" s="1"/>
  <c r="H27" i="10"/>
  <c r="L27" i="10"/>
  <c r="O27" i="10"/>
  <c r="Q27" i="10"/>
  <c r="S27" i="10"/>
  <c r="U27" i="10"/>
  <c r="W27" i="10"/>
  <c r="Y27" i="10"/>
  <c r="AF17" i="2" s="1"/>
  <c r="AA27" i="10"/>
  <c r="B27" i="10"/>
  <c r="AE27" i="10"/>
  <c r="D27" i="10"/>
  <c r="F26" i="18" l="1" a="1"/>
  <c r="F26" i="18" s="1"/>
  <c r="G26" i="18" s="1" a="1"/>
  <c r="G26" i="18" s="1"/>
  <c r="C24" i="14" a="1"/>
  <c r="C24" i="14" s="1"/>
  <c r="AP54" i="2"/>
  <c r="F27" i="18" l="1" a="1"/>
  <c r="F27" i="18" s="1"/>
  <c r="G27" i="18" s="1" a="1"/>
  <c r="G27" i="18" s="1"/>
  <c r="S8" i="10"/>
  <c r="F28" i="18" l="1" a="1"/>
  <c r="F28" i="18" s="1"/>
  <c r="G28" i="18" s="1" a="1"/>
  <c r="G28" i="18" s="1"/>
  <c r="U12" i="10"/>
  <c r="U8" i="10"/>
  <c r="S20" i="10"/>
  <c r="S14" i="10"/>
  <c r="S10" i="10"/>
  <c r="S43" i="10"/>
  <c r="S42" i="10"/>
  <c r="S41" i="10"/>
  <c r="U41" i="10"/>
  <c r="S36" i="10"/>
  <c r="U42" i="10"/>
  <c r="U43" i="10"/>
  <c r="U36" i="10"/>
  <c r="AC14" i="2"/>
  <c r="AA39" i="10"/>
  <c r="AF3" i="2"/>
  <c r="F29" i="18" l="1" a="1"/>
  <c r="F29" i="18" s="1"/>
  <c r="G29" i="18" s="1" a="1"/>
  <c r="G29" i="18" s="1"/>
  <c r="AF14" i="2"/>
  <c r="AF7" i="2"/>
  <c r="AF5" i="2"/>
  <c r="AF19" i="2"/>
  <c r="F30" i="18" l="1" a="1"/>
  <c r="F30" i="18" s="1"/>
  <c r="G30" i="18" s="1" a="1"/>
  <c r="G30" i="18" s="1"/>
  <c r="F31" i="18" l="1" a="1"/>
  <c r="F31" i="18" s="1"/>
  <c r="G31" i="18" s="1" a="1"/>
  <c r="G31" i="18" s="1"/>
  <c r="F32" i="18" l="1" a="1"/>
  <c r="F32" i="18" s="1"/>
  <c r="G32" i="18" s="1" a="1"/>
  <c r="G32" i="18" s="1"/>
  <c r="U24" i="10"/>
  <c r="U22" i="10"/>
  <c r="U18" i="10"/>
  <c r="S18" i="10"/>
  <c r="F33" i="18" l="1" a="1"/>
  <c r="F33" i="18" s="1"/>
  <c r="G33" i="18" s="1" a="1"/>
  <c r="G33" i="18" s="1"/>
  <c r="AC11" i="2"/>
  <c r="AF11" i="2"/>
  <c r="AC12" i="2"/>
  <c r="AF12" i="2"/>
  <c r="AP14" i="2"/>
  <c r="O40" i="10"/>
  <c r="O42" i="10"/>
  <c r="AC30" i="10"/>
  <c r="AC13" i="2"/>
  <c r="Q39" i="10"/>
  <c r="F34" i="18" l="1" a="1"/>
  <c r="F34" i="18" s="1"/>
  <c r="G34" i="18" s="1" a="1"/>
  <c r="G34" i="18" s="1"/>
  <c r="AF13" i="2"/>
  <c r="F35" i="18" l="1" a="1"/>
  <c r="F35" i="18" s="1"/>
  <c r="G35" i="18" s="1" a="1"/>
  <c r="G35" i="18" s="1"/>
  <c r="W51" i="10"/>
  <c r="AO5" i="2" s="1"/>
  <c r="AC51" i="10"/>
  <c r="F49" i="10"/>
  <c r="AC49" i="10"/>
  <c r="B51" i="10"/>
  <c r="H49" i="10"/>
  <c r="I49" i="10"/>
  <c r="Q51" i="10"/>
  <c r="AO13" i="2" s="1"/>
  <c r="AE49" i="10"/>
  <c r="AN19" i="2" s="1"/>
  <c r="H51" i="10"/>
  <c r="K49" i="10"/>
  <c r="AA49" i="10"/>
  <c r="AN14" i="2" s="1"/>
  <c r="Q49" i="10"/>
  <c r="AN13" i="2" s="1"/>
  <c r="S49" i="10"/>
  <c r="AN11" i="2" s="1"/>
  <c r="U51" i="10"/>
  <c r="AO12" i="2" s="1"/>
  <c r="O51" i="10"/>
  <c r="M49" i="10"/>
  <c r="AE51" i="10"/>
  <c r="AO19" i="2" s="1"/>
  <c r="U49" i="10"/>
  <c r="AN12" i="2" s="1"/>
  <c r="F51" i="10"/>
  <c r="B49" i="10"/>
  <c r="J49" i="10"/>
  <c r="AA51" i="10"/>
  <c r="AO14" i="2" s="1"/>
  <c r="S51" i="10"/>
  <c r="AO11" i="2" s="1"/>
  <c r="D51" i="10"/>
  <c r="M51" i="10"/>
  <c r="I51" i="10"/>
  <c r="Y49" i="10"/>
  <c r="Y51" i="10"/>
  <c r="L49" i="10"/>
  <c r="J51" i="10"/>
  <c r="D49" i="10"/>
  <c r="W49" i="10"/>
  <c r="AN5" i="2" s="1"/>
  <c r="L51" i="10"/>
  <c r="O49" i="10"/>
  <c r="K51" i="10"/>
  <c r="AH6" i="2"/>
  <c r="F36" i="18" l="1" a="1"/>
  <c r="F36" i="18" s="1"/>
  <c r="G36" i="18" s="1" a="1"/>
  <c r="G36" i="18" s="1"/>
  <c r="AO7" i="2"/>
  <c r="AO17" i="2"/>
  <c r="AN7" i="2"/>
  <c r="AN17" i="2"/>
  <c r="AC21" i="2"/>
  <c r="AF20" i="2"/>
  <c r="F36" i="10"/>
  <c r="F37" i="18" l="1" a="1"/>
  <c r="F37" i="18" s="1"/>
  <c r="G37" i="18" s="1" a="1"/>
  <c r="G37" i="18" s="1"/>
  <c r="AF21" i="2"/>
  <c r="AP50" i="2"/>
  <c r="AF15" i="2"/>
  <c r="BD11" i="2"/>
  <c r="H13" i="8" s="1"/>
  <c r="K8" i="8"/>
  <c r="K7" i="8"/>
  <c r="BG4" i="2"/>
  <c r="K6" i="8" s="1"/>
  <c r="BF6" i="2"/>
  <c r="J8" i="8" s="1"/>
  <c r="BF5" i="2"/>
  <c r="J7" i="8" s="1"/>
  <c r="BF4" i="2"/>
  <c r="J6" i="8" s="1"/>
  <c r="BE6" i="2"/>
  <c r="I8" i="8" s="1"/>
  <c r="BE5" i="2"/>
  <c r="I7" i="8" s="1"/>
  <c r="BE4" i="2"/>
  <c r="F38" i="18" l="1" a="1"/>
  <c r="F38" i="18" s="1"/>
  <c r="G38" i="18" s="1" a="1"/>
  <c r="G38" i="18" s="1"/>
  <c r="AH21" i="2"/>
  <c r="AC18" i="2"/>
  <c r="AF18" i="2"/>
  <c r="F39" i="18" l="1" a="1"/>
  <c r="F39" i="18" s="1"/>
  <c r="G39" i="18" s="1" a="1"/>
  <c r="G39" i="18" s="1"/>
  <c r="F40" i="18" l="1" a="1"/>
  <c r="F40" i="18" s="1"/>
  <c r="G40" i="18" s="1" a="1"/>
  <c r="G40" i="18" s="1"/>
  <c r="AF16" i="2"/>
  <c r="AP13" i="2"/>
  <c r="F41" i="18" l="1" a="1"/>
  <c r="F41" i="18" s="1"/>
  <c r="G41" i="18" s="1" a="1"/>
  <c r="G41" i="18" s="1"/>
  <c r="J6" i="10"/>
  <c r="AC3" i="2"/>
  <c r="F42" i="18" l="1" a="1"/>
  <c r="F42" i="18" s="1"/>
  <c r="G42" i="18" s="1" a="1"/>
  <c r="G42" i="18" s="1"/>
  <c r="AH20" i="2"/>
  <c r="AC20" i="2"/>
  <c r="F43" i="18" l="1" a="1"/>
  <c r="F43" i="18" s="1"/>
  <c r="G43" i="18" s="1" a="1"/>
  <c r="G43" i="18" s="1"/>
  <c r="AE46" i="10"/>
  <c r="AM19" i="2" s="1"/>
  <c r="D46" i="10"/>
  <c r="AM10" i="2" s="1"/>
  <c r="AA46" i="10"/>
  <c r="S46" i="10"/>
  <c r="K46" i="10"/>
  <c r="AM15" i="2" s="1"/>
  <c r="J46" i="10"/>
  <c r="AM20" i="2" s="1"/>
  <c r="B46" i="10"/>
  <c r="AM9" i="2" s="1"/>
  <c r="Y46" i="10"/>
  <c r="AM17" i="2" s="1"/>
  <c r="U46" i="10"/>
  <c r="AM12" i="2" s="1"/>
  <c r="W46" i="10"/>
  <c r="AM5" i="2" s="1"/>
  <c r="Q46" i="10"/>
  <c r="AM13" i="2" s="1"/>
  <c r="M46" i="10"/>
  <c r="AM21" i="2" s="1"/>
  <c r="O46" i="10"/>
  <c r="H46" i="10"/>
  <c r="AM6" i="2" s="1"/>
  <c r="L46" i="10"/>
  <c r="AM18" i="2" s="1"/>
  <c r="I46" i="10"/>
  <c r="F46" i="10"/>
  <c r="AM4" i="2" s="1"/>
  <c r="M30" i="10"/>
  <c r="AE30" i="10"/>
  <c r="D30" i="10"/>
  <c r="B30" i="10"/>
  <c r="H30" i="10"/>
  <c r="F30" i="10"/>
  <c r="I30" i="10"/>
  <c r="L30" i="10"/>
  <c r="U30" i="10"/>
  <c r="S30" i="10"/>
  <c r="AA30" i="10"/>
  <c r="Q30" i="10"/>
  <c r="O30" i="10"/>
  <c r="J30" i="10"/>
  <c r="K30" i="10"/>
  <c r="Y30" i="10"/>
  <c r="AG17" i="2" s="1"/>
  <c r="W30" i="10"/>
  <c r="AH3" i="2"/>
  <c r="AH11" i="2"/>
  <c r="AH14" i="2"/>
  <c r="AH12" i="2"/>
  <c r="AH13" i="2"/>
  <c r="AH15" i="2"/>
  <c r="AH4" i="2"/>
  <c r="AH16" i="2"/>
  <c r="AM11" i="2" l="1"/>
  <c r="F44" i="18" a="1"/>
  <c r="F44" i="18" s="1"/>
  <c r="G44" i="18" s="1" a="1"/>
  <c r="G44" i="18" s="1"/>
  <c r="AM7" i="2"/>
  <c r="AM16" i="2"/>
  <c r="AM14" i="2"/>
  <c r="AM3" i="2"/>
  <c r="F45" i="18" l="1" a="1"/>
  <c r="F45" i="18" s="1"/>
  <c r="G45" i="18" s="1" a="1"/>
  <c r="G45" i="18" s="1"/>
  <c r="I6" i="10"/>
  <c r="AP12" i="2"/>
  <c r="F46" i="18" l="1" a="1"/>
  <c r="F46" i="18" s="1"/>
  <c r="G46" i="18" s="1" a="1"/>
  <c r="G46" i="18" s="1"/>
  <c r="AC16" i="2"/>
  <c r="D37" i="10"/>
  <c r="B37" i="10"/>
  <c r="B40" i="10"/>
  <c r="D40" i="10"/>
  <c r="B41" i="10"/>
  <c r="D41" i="10"/>
  <c r="B43" i="10"/>
  <c r="B42" i="10"/>
  <c r="D43" i="10"/>
  <c r="D42" i="10"/>
  <c r="F47" i="18" l="1" a="1"/>
  <c r="F47" i="18" s="1"/>
  <c r="G47" i="18" s="1" a="1"/>
  <c r="G47" i="18" s="1"/>
  <c r="AF9" i="2"/>
  <c r="C3" i="8" s="1"/>
  <c r="AF6" i="2"/>
  <c r="AF4" i="2"/>
  <c r="AH10" i="2"/>
  <c r="E4" i="8"/>
  <c r="AF10" i="2"/>
  <c r="F5" i="10"/>
  <c r="AC9" i="2"/>
  <c r="B3" i="8" s="1"/>
  <c r="AP4" i="2"/>
  <c r="AP5" i="2"/>
  <c r="AP6" i="2"/>
  <c r="AP7" i="2"/>
  <c r="AP8" i="2"/>
  <c r="AP9" i="2"/>
  <c r="AP10" i="2"/>
  <c r="AP11" i="2"/>
  <c r="AP16" i="2"/>
  <c r="AP17" i="2"/>
  <c r="AP18" i="2"/>
  <c r="AP19" i="2"/>
  <c r="AP20" i="2"/>
  <c r="AP21" i="2"/>
  <c r="AP22" i="2"/>
  <c r="AP23" i="2"/>
  <c r="AP24" i="2"/>
  <c r="AP25" i="2"/>
  <c r="AP26" i="2"/>
  <c r="AP27" i="2"/>
  <c r="AP28" i="2"/>
  <c r="AP29" i="2"/>
  <c r="AP30" i="2"/>
  <c r="AP31" i="2"/>
  <c r="AP32" i="2"/>
  <c r="AP33" i="2"/>
  <c r="AP34" i="2"/>
  <c r="AP35" i="2"/>
  <c r="AP36" i="2"/>
  <c r="AP37" i="2"/>
  <c r="AP38" i="2"/>
  <c r="AP39" i="2"/>
  <c r="AP40" i="2"/>
  <c r="AP41" i="2"/>
  <c r="AP42" i="2"/>
  <c r="AP43" i="2"/>
  <c r="AP44" i="2"/>
  <c r="AP45" i="2"/>
  <c r="AP46" i="2"/>
  <c r="AP47" i="2"/>
  <c r="AP48" i="2"/>
  <c r="AP49" i="2"/>
  <c r="AP51" i="2"/>
  <c r="AP52" i="2"/>
  <c r="AP53" i="2"/>
  <c r="AP3" i="2"/>
  <c r="H5" i="10"/>
  <c r="F48" i="18" l="1" a="1"/>
  <c r="F48" i="18" s="1"/>
  <c r="G48" i="18" s="1" a="1"/>
  <c r="G48" i="18" s="1"/>
  <c r="AO3" i="2"/>
  <c r="AG5" i="2"/>
  <c r="AG11" i="2"/>
  <c r="AG12" i="2"/>
  <c r="AG19" i="2"/>
  <c r="AG7" i="2"/>
  <c r="AG14" i="2"/>
  <c r="AG3" i="2"/>
  <c r="AN3" i="2"/>
  <c r="AO21" i="2"/>
  <c r="AO6" i="2"/>
  <c r="AG21" i="2"/>
  <c r="AN21" i="2"/>
  <c r="AO16" i="2"/>
  <c r="AG18" i="2"/>
  <c r="AG13" i="2"/>
  <c r="AO9" i="2"/>
  <c r="AN6" i="2"/>
  <c r="AG16" i="2"/>
  <c r="AN18" i="2"/>
  <c r="AO20" i="2"/>
  <c r="AN9" i="2"/>
  <c r="AG15" i="2"/>
  <c r="AO4" i="2"/>
  <c r="AO15" i="2"/>
  <c r="AG9" i="2"/>
  <c r="AN20" i="2"/>
  <c r="AN16" i="2"/>
  <c r="AN15" i="2"/>
  <c r="AO10" i="2"/>
  <c r="AN4" i="2"/>
  <c r="AN10" i="2"/>
  <c r="AO18" i="2"/>
  <c r="AC6" i="2"/>
  <c r="AC10" i="2"/>
  <c r="AG20" i="2"/>
  <c r="AC4" i="2"/>
  <c r="AG10" i="2"/>
  <c r="AG6" i="2"/>
  <c r="F49" i="18" l="1" a="1"/>
  <c r="F49" i="18" s="1"/>
  <c r="G49" i="18" s="1" a="1"/>
  <c r="G49" i="18" s="1"/>
  <c r="C5" i="8"/>
  <c r="C4" i="8"/>
  <c r="D4" i="8"/>
  <c r="AG4" i="2"/>
  <c r="F50" i="18" l="1" a="1"/>
  <c r="F50" i="18" s="1"/>
  <c r="G50" i="18" s="1" a="1"/>
  <c r="G50" i="18" s="1"/>
  <c r="F51" i="18" l="1" a="1"/>
  <c r="F51" i="18" s="1"/>
  <c r="G51" i="18" s="1" a="1"/>
  <c r="G51" i="18" s="1"/>
  <c r="F52" i="18" l="1" a="1"/>
  <c r="F52" i="18" s="1"/>
  <c r="G52" i="18" s="1" a="1"/>
  <c r="G52" i="18" s="1"/>
  <c r="F53" i="18" l="1" a="1"/>
  <c r="F53" i="18" s="1"/>
  <c r="G53" i="18" s="1" a="1"/>
  <c r="G53" i="18" s="1"/>
  <c r="F54" i="18" l="1" a="1"/>
  <c r="F54" i="18" s="1"/>
  <c r="G54" i="18" s="1" a="1"/>
  <c r="G54" i="18" s="1"/>
  <c r="F55" i="18" l="1" a="1"/>
  <c r="F55" i="18" s="1"/>
  <c r="G55" i="18" s="1" a="1"/>
  <c r="G55" i="18" s="1"/>
  <c r="F56" i="18" l="1" a="1"/>
  <c r="F56" i="18" s="1"/>
  <c r="G56" i="18" s="1" a="1"/>
  <c r="G56" i="18" s="1"/>
  <c r="F57" i="18" l="1" a="1"/>
  <c r="F57" i="18" s="1"/>
  <c r="G57" i="18" s="1" a="1"/>
  <c r="G57" i="18" s="1"/>
  <c r="F58" i="18" l="1" a="1"/>
  <c r="F58" i="18" s="1"/>
  <c r="G58" i="18" s="1" a="1"/>
  <c r="G58" i="18" s="1"/>
  <c r="F59" i="18" l="1" a="1"/>
  <c r="F59" i="18" s="1"/>
  <c r="G59" i="18" s="1" a="1"/>
  <c r="G59" i="18" s="1"/>
  <c r="F60" i="18" l="1" a="1"/>
  <c r="F60" i="18" s="1"/>
  <c r="G60" i="18" s="1" a="1"/>
  <c r="G60" i="18" s="1"/>
  <c r="F61" i="18" l="1" a="1"/>
  <c r="F61" i="18" s="1"/>
  <c r="G61" i="18" s="1" a="1"/>
  <c r="G61" i="18" s="1"/>
  <c r="F62" i="18" l="1" a="1"/>
  <c r="F62" i="18" s="1"/>
  <c r="G62" i="18" s="1" a="1"/>
  <c r="G62" i="18" s="1"/>
  <c r="F63" i="18" l="1" a="1"/>
  <c r="F63" i="18" s="1"/>
  <c r="G63" i="18" s="1" a="1"/>
  <c r="G63" i="18" s="1"/>
  <c r="F64" i="18" l="1" a="1"/>
  <c r="F64" i="18" s="1"/>
  <c r="G64" i="18" s="1" a="1"/>
  <c r="G64" i="18" s="1"/>
  <c r="F65" i="18" l="1" a="1"/>
  <c r="F65" i="18" s="1"/>
  <c r="G65" i="18" s="1" a="1"/>
  <c r="G65" i="18" s="1"/>
  <c r="F66" i="18" l="1" a="1"/>
  <c r="F66" i="18" s="1"/>
  <c r="G66" i="18" s="1" a="1"/>
  <c r="G66" i="18" s="1"/>
  <c r="F67" i="18" l="1" a="1"/>
  <c r="F67" i="18" s="1"/>
  <c r="G67" i="18" s="1" a="1"/>
  <c r="G67" i="18" s="1"/>
  <c r="F68" i="18" l="1" a="1"/>
  <c r="F68" i="18" s="1"/>
  <c r="G68" i="18" s="1" a="1"/>
  <c r="G68" i="18" s="1"/>
  <c r="F69" i="18" l="1" a="1"/>
  <c r="F69" i="18" s="1"/>
  <c r="G69" i="18" s="1" a="1"/>
  <c r="G69" i="18" s="1"/>
  <c r="F70" i="18" l="1" a="1"/>
  <c r="F70" i="18" s="1"/>
  <c r="G70" i="18" s="1" a="1"/>
  <c r="G70" i="18" s="1"/>
  <c r="F71" i="18" l="1" a="1"/>
  <c r="F71" i="18" s="1"/>
  <c r="G71" i="18" s="1" a="1"/>
  <c r="G71" i="18" s="1"/>
  <c r="F72" i="18" l="1" a="1"/>
  <c r="F72" i="18" s="1"/>
  <c r="G72" i="18" s="1" a="1"/>
  <c r="G72" i="18" s="1"/>
  <c r="F73" i="18" l="1" a="1"/>
  <c r="F73" i="18" s="1"/>
  <c r="G73" i="18" s="1" a="1"/>
  <c r="G73" i="18" s="1"/>
  <c r="F74" i="18" l="1" a="1"/>
  <c r="F74" i="18" s="1"/>
  <c r="G74" i="18" s="1" a="1"/>
  <c r="G74" i="18" s="1"/>
  <c r="F75" i="18" l="1" a="1"/>
  <c r="F75" i="18" s="1"/>
  <c r="G75" i="18" s="1" a="1"/>
  <c r="G75" i="18" s="1"/>
  <c r="F76" i="18" l="1" a="1"/>
  <c r="F76" i="18" s="1"/>
  <c r="G76" i="18" s="1" a="1"/>
  <c r="G76" i="18" s="1"/>
  <c r="F77" i="18" l="1" a="1"/>
  <c r="F77" i="18" s="1"/>
  <c r="G77" i="18" s="1" a="1"/>
  <c r="G77" i="18" s="1"/>
  <c r="F78" i="18" l="1" a="1"/>
  <c r="F78" i="18" s="1"/>
  <c r="G78" i="18" s="1" a="1"/>
  <c r="G78" i="18" s="1"/>
  <c r="F79" i="18" l="1" a="1"/>
  <c r="F79" i="18" s="1"/>
  <c r="G79" i="18" s="1" a="1"/>
  <c r="G79" i="18" s="1"/>
  <c r="F80" i="18" l="1" a="1"/>
  <c r="F80" i="18" s="1"/>
  <c r="G80" i="18" s="1" a="1"/>
  <c r="G80" i="18" s="1"/>
  <c r="F81" i="18" l="1" a="1"/>
  <c r="F81" i="18" s="1"/>
  <c r="G81" i="18" s="1" a="1"/>
  <c r="G81" i="18" s="1"/>
  <c r="F82" i="18" l="1" a="1"/>
  <c r="F82" i="18" s="1"/>
  <c r="G82" i="18" s="1" a="1"/>
  <c r="G82" i="18" s="1"/>
  <c r="F83" i="18" l="1" a="1"/>
  <c r="F83" i="18" s="1"/>
  <c r="G83" i="18" s="1" a="1"/>
  <c r="G83" i="18" s="1"/>
  <c r="F84" i="18" l="1" a="1"/>
  <c r="F84" i="18" s="1"/>
  <c r="G84" i="18" s="1" a="1"/>
  <c r="G84" i="18" s="1"/>
  <c r="F85" i="18" l="1" a="1"/>
  <c r="F85" i="18" s="1"/>
  <c r="G85" i="18" s="1" a="1"/>
  <c r="G85" i="18" s="1"/>
  <c r="F86" i="18" l="1" a="1"/>
  <c r="F86" i="18" s="1"/>
  <c r="G86" i="18" s="1" a="1"/>
  <c r="G86" i="18" s="1"/>
  <c r="F87" i="18" l="1" a="1"/>
  <c r="F87" i="18" s="1"/>
  <c r="G87" i="18" s="1" a="1"/>
  <c r="G87" i="18" s="1"/>
  <c r="F88" i="18" l="1" a="1"/>
  <c r="F88" i="18" s="1"/>
  <c r="G88" i="18" s="1" a="1"/>
  <c r="G88" i="18" s="1"/>
  <c r="F89" i="18" l="1" a="1"/>
  <c r="F89" i="18" s="1"/>
  <c r="G89" i="18" s="1" a="1"/>
  <c r="G89" i="18" s="1"/>
  <c r="F90" i="18" l="1" a="1"/>
  <c r="F90" i="18" s="1"/>
  <c r="G90" i="18" s="1" a="1"/>
  <c r="G90" i="18" s="1"/>
  <c r="F91" i="18" l="1" a="1"/>
  <c r="F91" i="18" s="1"/>
  <c r="G91" i="18" s="1" a="1"/>
  <c r="G91" i="18" s="1"/>
  <c r="F92" i="18" l="1" a="1"/>
  <c r="F92" i="18" s="1"/>
  <c r="G92" i="18" s="1" a="1"/>
  <c r="G92" i="18" s="1"/>
  <c r="F93" i="18" l="1" a="1"/>
  <c r="F93" i="18" s="1"/>
  <c r="G93" i="18" s="1" a="1"/>
  <c r="G93" i="18" s="1"/>
  <c r="F94" i="18" l="1" a="1"/>
  <c r="F94" i="18" s="1"/>
  <c r="G94" i="18" s="1" a="1"/>
  <c r="G94" i="18" s="1"/>
  <c r="F95" i="18" l="1" a="1"/>
  <c r="F95" i="18" s="1"/>
  <c r="G95" i="18" s="1" a="1"/>
  <c r="G95" i="18" s="1"/>
  <c r="F96" i="18" l="1" a="1"/>
  <c r="F96" i="18" s="1"/>
  <c r="G96" i="18" s="1" a="1"/>
  <c r="G96" i="18" s="1"/>
  <c r="F97" i="18" l="1" a="1"/>
  <c r="F97" i="18" s="1"/>
  <c r="G97" i="18" s="1" a="1"/>
  <c r="G97" i="18" s="1"/>
  <c r="F98" i="18" l="1" a="1"/>
  <c r="F98" i="18" s="1"/>
  <c r="G98" i="18" s="1" a="1"/>
  <c r="G98" i="18" s="1"/>
  <c r="F99" i="18" l="1" a="1"/>
  <c r="F99" i="18" s="1"/>
  <c r="G99" i="18" s="1" a="1"/>
  <c r="G99" i="18" s="1"/>
  <c r="F100" i="18" a="1"/>
  <c r="F100" i="18" s="1"/>
  <c r="G100" i="18" s="1" a="1"/>
  <c r="G100" i="1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tc={0B1AC4B6-7D02-43BD-8B44-0FF754AE9D49}</author>
  </authors>
  <commentList>
    <comment ref="A13" authorId="0" shapeId="0" xr:uid="{0B1AC4B6-7D02-43BD-8B44-0FF754AE9D49}">
      <text>
        <t xml:space="preserve">[Threaded comment]
Your version of Excel allows you to read this threaded comment; however, any edits to it will get removed if the file is opened in a newer version of Excel. Learn more: https://go.microsoft.com/fwlink/?linkid=870924
Comment:
    Zipe Code / Area Code Look Up
Time Zones in the US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<sst xmlns="http://schemas.openxmlformats.org/spreadsheetml/2006/main" count="2053" uniqueCount="1016">
  <si>
    <t>Initials</t>
  </si>
  <si>
    <t>Implementation Manager</t>
  </si>
  <si>
    <t>Group</t>
  </si>
  <si>
    <t>Contact</t>
  </si>
  <si>
    <t>CSM</t>
  </si>
  <si>
    <t>AR</t>
  </si>
  <si>
    <t>IM</t>
  </si>
  <si>
    <t>CO</t>
  </si>
  <si>
    <t>Sales</t>
  </si>
  <si>
    <t xml:space="preserve">Date </t>
  </si>
  <si>
    <t>Time</t>
  </si>
  <si>
    <t>Most Recent Build Specs Edit:</t>
  </si>
  <si>
    <t>MN</t>
  </si>
  <si>
    <t>SC</t>
  </si>
  <si>
    <t>SR</t>
  </si>
  <si>
    <t>Market:</t>
  </si>
  <si>
    <t>Platform:</t>
  </si>
  <si>
    <t>Client Build Folder Link:</t>
  </si>
  <si>
    <t>SPEC Type:</t>
  </si>
  <si>
    <t>Client Build Specs Edit Link:</t>
  </si>
  <si>
    <t>Build Specs View Only Link:</t>
  </si>
  <si>
    <t>Opportunity/File Name</t>
  </si>
  <si>
    <t>Client Requested Date:</t>
  </si>
  <si>
    <t>Program Name &amp; Default AP:</t>
  </si>
  <si>
    <r>
      <t xml:space="preserve">New✨ </t>
    </r>
    <r>
      <rPr>
        <i/>
        <sz val="8"/>
        <color rgb="FFC00000"/>
        <rFont val="Calibri"/>
        <family val="2"/>
        <scheme val="minor"/>
      </rPr>
      <t>Program Name, AP, &amp; IPR</t>
    </r>
  </si>
  <si>
    <t>www IPR:</t>
  </si>
  <si>
    <t>Time Zone</t>
  </si>
  <si>
    <t>(GMT -6.0) Central Time (US &amp; Canada)</t>
  </si>
  <si>
    <t>Client Integration Method</t>
  </si>
  <si>
    <t>3-Letter Initials:</t>
  </si>
  <si>
    <t>LMS/Launchpad Environment:</t>
  </si>
  <si>
    <t>Rostering:</t>
  </si>
  <si>
    <t>Primary Contract Dates</t>
  </si>
  <si>
    <t xml:space="preserve">Start Date:  </t>
  </si>
  <si>
    <t xml:space="preserve">End Date:  </t>
  </si>
  <si>
    <t xml:space="preserve">Target Launch Date:  </t>
  </si>
  <si>
    <r>
      <rPr>
        <b/>
        <sz val="11"/>
        <color theme="0"/>
        <rFont val="Calibri"/>
        <family val="2"/>
        <scheme val="minor"/>
      </rPr>
      <t>Primary Contract Group</t>
    </r>
    <r>
      <rPr>
        <sz val="11"/>
        <color theme="0"/>
        <rFont val="Calibri"/>
        <family val="2"/>
        <scheme val="minor"/>
      </rPr>
      <t xml:space="preserve"> | Type</t>
    </r>
  </si>
  <si>
    <t>Contract Group Name</t>
  </si>
  <si>
    <t>User Session Limit</t>
  </si>
  <si>
    <t>User Session Timeframe</t>
  </si>
  <si>
    <t>Concurrent Session Cap</t>
  </si>
  <si>
    <t>Revenue</t>
  </si>
  <si>
    <t>No</t>
  </si>
  <si>
    <t>Monthly Billing:</t>
  </si>
  <si>
    <t>Start Date  |   End Date</t>
  </si>
  <si>
    <t>Type</t>
  </si>
  <si>
    <t>Target</t>
  </si>
  <si>
    <t>IsBilledMonthly</t>
  </si>
  <si>
    <t>Yes</t>
  </si>
  <si>
    <t>Secondary Contract Dates</t>
  </si>
  <si>
    <r>
      <rPr>
        <b/>
        <sz val="11"/>
        <color theme="0"/>
        <rFont val="Calibri"/>
        <family val="2"/>
        <scheme val="minor"/>
      </rPr>
      <t>Secondary Contract Group</t>
    </r>
    <r>
      <rPr>
        <sz val="11"/>
        <color theme="0"/>
        <rFont val="Calibri"/>
        <family val="2"/>
        <scheme val="minor"/>
      </rPr>
      <t xml:space="preserve"> | Type</t>
    </r>
  </si>
  <si>
    <t>Link to CST</t>
  </si>
  <si>
    <t>User Name Formats:</t>
  </si>
  <si>
    <t>Tool Redirect URL(s)</t>
  </si>
  <si>
    <t>Tool JWKS URL</t>
  </si>
  <si>
    <t xml:space="preserve">Signing Algorithm </t>
  </si>
  <si>
    <t>RS256</t>
  </si>
  <si>
    <t>Manage Placements &gt;&gt; Register</t>
  </si>
  <si>
    <t>Placement Name</t>
  </si>
  <si>
    <t>Description</t>
  </si>
  <si>
    <t>Select "Course Tool" from the Drop Down</t>
  </si>
  <si>
    <t>Allow Student Access</t>
  </si>
  <si>
    <t>Toggle ON</t>
  </si>
  <si>
    <t>Launch in New Window</t>
  </si>
  <si>
    <t>Target Link URI</t>
  </si>
  <si>
    <r>
      <t xml:space="preserve">Icon URL </t>
    </r>
    <r>
      <rPr>
        <b/>
        <i/>
        <sz val="8"/>
        <color theme="0"/>
        <rFont val="Calibri"/>
        <family val="2"/>
        <scheme val="minor"/>
      </rPr>
      <t>(Optional - Can be left blank)</t>
    </r>
  </si>
  <si>
    <t>Common Custom Parameters for Global or Placement Level</t>
  </si>
  <si>
    <t>custom_ap</t>
  </si>
  <si>
    <t>Sunday</t>
  </si>
  <si>
    <t>Monday</t>
  </si>
  <si>
    <t>Tuesday</t>
  </si>
  <si>
    <t>Wednesday</t>
  </si>
  <si>
    <t>Thursday</t>
  </si>
  <si>
    <t>Friday</t>
  </si>
  <si>
    <t>Saturday</t>
  </si>
  <si>
    <t>Open</t>
  </si>
  <si>
    <t>Close</t>
  </si>
  <si>
    <t>https://www.time-zones-map.com/</t>
  </si>
  <si>
    <t>Go Back to Build Specs</t>
  </si>
  <si>
    <t>CV</t>
  </si>
  <si>
    <t>MD</t>
  </si>
  <si>
    <t>CL</t>
  </si>
  <si>
    <t>JZ</t>
  </si>
  <si>
    <t>context_id</t>
  </si>
  <si>
    <t>Copy Context Title to Context ID</t>
  </si>
  <si>
    <t>context_label</t>
  </si>
  <si>
    <t>From</t>
  </si>
  <si>
    <t>context_title</t>
  </si>
  <si>
    <t>To</t>
  </si>
  <si>
    <t>context_type</t>
  </si>
  <si>
    <t>user_id</t>
  </si>
  <si>
    <t>ext</t>
  </si>
  <si>
    <t>ext_user_username</t>
  </si>
  <si>
    <t>launch_presentation_css_url</t>
  </si>
  <si>
    <t>launch_presentation_document_target</t>
  </si>
  <si>
    <t>launch_presentation_height</t>
  </si>
  <si>
    <t>launch_presentation_locale</t>
  </si>
  <si>
    <t>sub</t>
  </si>
  <si>
    <t>launch_presentation_return_url</t>
  </si>
  <si>
    <t xml:space="preserve">Copy student ID to sub </t>
  </si>
  <si>
    <t>launch_presentation_width</t>
  </si>
  <si>
    <t>Set custom_ap to Program Name</t>
  </si>
  <si>
    <t>Parameter</t>
  </si>
  <si>
    <t>lis_person_name_family</t>
  </si>
  <si>
    <t>family_name</t>
  </si>
  <si>
    <t>Value</t>
  </si>
  <si>
    <t>lis_person_name_full</t>
  </si>
  <si>
    <t>name</t>
  </si>
  <si>
    <t>Set a Generic custom_ap using the LMS Name</t>
  </si>
  <si>
    <t>lis_person_name_given</t>
  </si>
  <si>
    <t>given_name</t>
  </si>
  <si>
    <t>resource_link_description</t>
  </si>
  <si>
    <t>resource_link_id</t>
  </si>
  <si>
    <t>resource_link_title</t>
  </si>
  <si>
    <t>role_scope_mentor</t>
  </si>
  <si>
    <t>roles (member)</t>
  </si>
  <si>
    <t>roles (student)</t>
  </si>
  <si>
    <t>roles {1-First}</t>
  </si>
  <si>
    <t>roles {2-Second}</t>
  </si>
  <si>
    <t>roles {3-Third}</t>
  </si>
  <si>
    <t>roles {4-Fourth}</t>
  </si>
  <si>
    <t>tool_consumer_info_product_family</t>
  </si>
  <si>
    <t>tool_consumer_info_version</t>
  </si>
  <si>
    <t>tool_consumer_instance_description</t>
  </si>
  <si>
    <t>tool_consumer_instance_name</t>
  </si>
  <si>
    <t>tool_consumer_instance_url</t>
  </si>
  <si>
    <t>user_image</t>
  </si>
  <si>
    <t>picture</t>
  </si>
  <si>
    <t/>
  </si>
  <si>
    <t>Use Gimp to Scale 
&amp; Size to 310x90</t>
  </si>
  <si>
    <t xml:space="preserve">Save File As:  </t>
  </si>
  <si>
    <r>
      <t xml:space="preserve">Select or Type P Drive 
Folder to Link </t>
    </r>
    <r>
      <rPr>
        <b/>
        <i/>
        <sz val="8"/>
        <color theme="0"/>
        <rFont val="Calibri"/>
        <family val="2"/>
        <scheme val="minor"/>
      </rPr>
      <t>(Optional)</t>
    </r>
  </si>
  <si>
    <t>Insert Link to locally saved WEB Logo Below:</t>
  </si>
  <si>
    <t>Formatted Technical Sheet</t>
  </si>
  <si>
    <t>Whitelist Request</t>
  </si>
  <si>
    <t>"</t>
  </si>
  <si>
    <t>Format</t>
  </si>
  <si>
    <t>HTML Quick Reference</t>
  </si>
  <si>
    <t>First 
Tag</t>
  </si>
  <si>
    <t>End 
Tag</t>
  </si>
  <si>
    <t>Bold</t>
  </si>
  <si>
    <t>&lt;b&gt;</t>
  </si>
  <si>
    <t>&lt;/b&gt;</t>
  </si>
  <si>
    <t>&lt;strong&gt;</t>
  </si>
  <si>
    <t>&lt;/strong&gt;</t>
  </si>
  <si>
    <t>Line Break</t>
  </si>
  <si>
    <t>&lt;br&gt;</t>
  </si>
  <si>
    <t>Open Link in a New Tab</t>
  </si>
  <si>
    <r>
      <t xml:space="preserve">Place at the end of the anchor &lt;a&gt; element, after the URL. 
</t>
    </r>
    <r>
      <rPr>
        <i/>
        <sz val="10"/>
        <color theme="1"/>
        <rFont val="Calibri"/>
        <family val="2"/>
        <scheme val="minor"/>
      </rPr>
      <t>Example</t>
    </r>
    <r>
      <rPr>
        <sz val="10"/>
        <color theme="1"/>
        <rFont val="Calibri"/>
        <family val="2"/>
        <scheme val="minor"/>
      </rPr>
      <t>:  &lt;a href="</t>
    </r>
    <r>
      <rPr>
        <b/>
        <sz val="10"/>
        <color theme="1"/>
        <rFont val="Calibri"/>
        <family val="2"/>
        <scheme val="minor"/>
      </rPr>
      <t>URL</t>
    </r>
    <r>
      <rPr>
        <sz val="10"/>
        <color theme="1"/>
        <rFont val="Calibri"/>
        <family val="2"/>
        <scheme val="minor"/>
      </rPr>
      <t xml:space="preserve">" </t>
    </r>
    <r>
      <rPr>
        <b/>
        <sz val="10"/>
        <color rgb="FFFF0000"/>
        <rFont val="Calibri"/>
        <family val="2"/>
        <scheme val="minor"/>
      </rPr>
      <t>target="_blank"</t>
    </r>
    <r>
      <rPr>
        <sz val="10"/>
        <color rgb="FFFF0000"/>
        <rFont val="Calibri"/>
        <family val="2"/>
        <scheme val="minor"/>
      </rPr>
      <t xml:space="preserve"> </t>
    </r>
    <r>
      <rPr>
        <sz val="10"/>
        <color theme="1"/>
        <rFont val="Calibri"/>
        <family val="2"/>
        <scheme val="minor"/>
      </rPr>
      <t>&gt;</t>
    </r>
    <r>
      <rPr>
        <b/>
        <sz val="10"/>
        <color theme="1"/>
        <rFont val="Calibri"/>
        <family val="2"/>
        <scheme val="minor"/>
      </rPr>
      <t>TEXT</t>
    </r>
    <r>
      <rPr>
        <sz val="10"/>
        <color theme="1"/>
        <rFont val="Calibri"/>
        <family val="2"/>
        <scheme val="minor"/>
      </rPr>
      <t>&lt;/a&gt;</t>
    </r>
  </si>
  <si>
    <t>target="_blank"</t>
  </si>
  <si>
    <t>Embedded URL</t>
  </si>
  <si>
    <r>
      <rPr>
        <sz val="12"/>
        <color theme="1"/>
        <rFont val="Calibri"/>
        <family val="2"/>
        <scheme val="minor"/>
      </rPr>
      <t>&lt;a href="</t>
    </r>
    <r>
      <rPr>
        <b/>
        <sz val="12"/>
        <color rgb="FFFF0000"/>
        <rFont val="Calibri"/>
        <family val="2"/>
        <scheme val="minor"/>
      </rPr>
      <t>URL</t>
    </r>
    <r>
      <rPr>
        <b/>
        <sz val="12"/>
        <rFont val="Calibri"/>
        <family val="2"/>
        <scheme val="minor"/>
      </rPr>
      <t>"</t>
    </r>
    <r>
      <rPr>
        <sz val="11"/>
        <color theme="1"/>
        <rFont val="Calibri"/>
        <family val="2"/>
        <scheme val="minor"/>
      </rPr>
      <t xml:space="preserve">
</t>
    </r>
    <r>
      <rPr>
        <b/>
        <sz val="8"/>
        <color rgb="FFFF0000"/>
        <rFont val="Calibri"/>
        <family val="2"/>
        <scheme val="minor"/>
      </rPr>
      <t>RED</t>
    </r>
    <r>
      <rPr>
        <sz val="8"/>
        <color theme="1"/>
        <rFont val="Calibri"/>
        <family val="2"/>
        <scheme val="minor"/>
      </rPr>
      <t xml:space="preserve"> Text and/or Characters to be replaced in script</t>
    </r>
  </si>
  <si>
    <r>
      <rPr>
        <sz val="12"/>
        <color theme="1"/>
        <rFont val="Calibri"/>
        <family val="2"/>
        <scheme val="minor"/>
      </rPr>
      <t>&gt;</t>
    </r>
    <r>
      <rPr>
        <b/>
        <sz val="12"/>
        <color rgb="FFFF0000"/>
        <rFont val="Calibri"/>
        <family val="2"/>
        <scheme val="minor"/>
      </rPr>
      <t>TEXT</t>
    </r>
    <r>
      <rPr>
        <sz val="12"/>
        <color theme="1"/>
        <rFont val="Calibri"/>
        <family val="2"/>
        <scheme val="minor"/>
      </rPr>
      <t>&lt;/a&gt;</t>
    </r>
    <r>
      <rPr>
        <sz val="11"/>
        <color theme="1"/>
        <rFont val="Calibri"/>
        <family val="2"/>
        <scheme val="minor"/>
      </rPr>
      <t xml:space="preserve">
</t>
    </r>
    <r>
      <rPr>
        <b/>
        <sz val="8"/>
        <color rgb="FFFF0000"/>
        <rFont val="Calibri"/>
        <family val="2"/>
        <scheme val="minor"/>
      </rPr>
      <t>RED</t>
    </r>
    <r>
      <rPr>
        <sz val="8"/>
        <color theme="1"/>
        <rFont val="Calibri"/>
        <family val="2"/>
        <scheme val="minor"/>
      </rPr>
      <t xml:space="preserve"> Text and/or Characters to be replaced in script</t>
    </r>
  </si>
  <si>
    <t>Breakdown</t>
  </si>
  <si>
    <t>Concat</t>
  </si>
  <si>
    <r>
      <t xml:space="preserve">Client Statement w/Link
</t>
    </r>
    <r>
      <rPr>
        <b/>
        <sz val="14"/>
        <color theme="0"/>
        <rFont val="Calibri"/>
        <family val="2"/>
        <scheme val="minor"/>
      </rPr>
      <t>#2</t>
    </r>
  </si>
  <si>
    <t>Before Link</t>
  </si>
  <si>
    <r>
      <t xml:space="preserve">Link </t>
    </r>
    <r>
      <rPr>
        <sz val="11"/>
        <color theme="1"/>
        <rFont val="Calibri"/>
        <family val="2"/>
        <scheme val="minor"/>
      </rPr>
      <t>(include http)</t>
    </r>
  </si>
  <si>
    <t>Anchor Text</t>
  </si>
  <si>
    <t>After Link</t>
  </si>
  <si>
    <t>Branding Components Loop Link</t>
  </si>
  <si>
    <t>_</t>
  </si>
  <si>
    <t>a</t>
  </si>
  <si>
    <t>[</t>
  </si>
  <si>
    <t>b</t>
  </si>
  <si>
    <t>c</t>
  </si>
  <si>
    <t>?</t>
  </si>
  <si>
    <t>d</t>
  </si>
  <si>
    <t>e</t>
  </si>
  <si>
    <t>Product</t>
  </si>
  <si>
    <t>f</t>
  </si>
  <si>
    <t>q</t>
  </si>
  <si>
    <t>g</t>
  </si>
  <si>
    <t>h</t>
  </si>
  <si>
    <t>i</t>
  </si>
  <si>
    <t>;</t>
  </si>
  <si>
    <t>j</t>
  </si>
  <si>
    <t>k</t>
  </si>
  <si>
    <t>\</t>
  </si>
  <si>
    <t>l</t>
  </si>
  <si>
    <t>m</t>
  </si>
  <si>
    <t>n</t>
  </si>
  <si>
    <t>o</t>
  </si>
  <si>
    <t>p</t>
  </si>
  <si>
    <t>t</t>
  </si>
  <si>
    <t>r</t>
  </si>
  <si>
    <t>)</t>
  </si>
  <si>
    <t>s</t>
  </si>
  <si>
    <t>-</t>
  </si>
  <si>
    <t>u</t>
  </si>
  <si>
    <t>v</t>
  </si>
  <si>
    <t>w</t>
  </si>
  <si>
    <t>x</t>
  </si>
  <si>
    <t>y</t>
  </si>
  <si>
    <t>z</t>
  </si>
  <si>
    <t>(</t>
  </si>
  <si>
    <t>#</t>
  </si>
  <si>
    <t>&amp;</t>
  </si>
  <si>
    <t>`</t>
  </si>
  <si>
    <t>*</t>
  </si>
  <si>
    <t>^</t>
  </si>
  <si>
    <t>+</t>
  </si>
  <si>
    <t>]</t>
  </si>
  <si>
    <t>!</t>
  </si>
  <si>
    <t>@</t>
  </si>
  <si>
    <t>.</t>
  </si>
  <si>
    <t>:</t>
  </si>
  <si>
    <t>/</t>
  </si>
  <si>
    <t>&gt;</t>
  </si>
  <si>
    <t>&lt;</t>
  </si>
  <si>
    <t>%</t>
  </si>
  <si>
    <t>|</t>
  </si>
  <si>
    <t>,</t>
  </si>
  <si>
    <t>=</t>
  </si>
  <si>
    <t>$</t>
  </si>
  <si>
    <t>}</t>
  </si>
  <si>
    <t>{</t>
  </si>
  <si>
    <t>~</t>
  </si>
  <si>
    <t>Program Implementation Information</t>
  </si>
  <si>
    <t>LMS/Launchpad</t>
  </si>
  <si>
    <t>Program ID</t>
  </si>
  <si>
    <t>Notes:</t>
  </si>
  <si>
    <t>Doc Desc &amp; Loc</t>
  </si>
  <si>
    <t>Build Specs Link - 'Program Config'!I3</t>
  </si>
  <si>
    <t>Web Logo - 'Web Logo Search &amp; Drop'!$A$6</t>
  </si>
  <si>
    <t>Tech Sheet [XML/JSON] - 'Comms &amp; Tech'!B6</t>
  </si>
  <si>
    <t>Comms &amp; Tech'!$G$9 | 'Comms &amp; Tech'!$G$14 | 'Comms &amp; Tech'!$G$19 | 'Comms &amp; Tech'!$G$25</t>
  </si>
  <si>
    <t>'Program Config'!I30</t>
  </si>
  <si>
    <t>Add'l Docs to be Added after Build</t>
  </si>
  <si>
    <t>'Comms &amp; Tech'!$N$19</t>
  </si>
  <si>
    <r>
      <rPr>
        <b/>
        <sz val="8"/>
        <color theme="1"/>
        <rFont val="Calibri"/>
        <family val="2"/>
        <scheme val="minor"/>
      </rPr>
      <t>Docs Name</t>
    </r>
    <r>
      <rPr>
        <sz val="8"/>
        <color theme="1"/>
        <rFont val="Calibri"/>
        <family val="2"/>
        <scheme val="minor"/>
      </rPr>
      <t xml:space="preserve"> (Select From List or Type)</t>
    </r>
  </si>
  <si>
    <r>
      <t xml:space="preserve">Link </t>
    </r>
    <r>
      <rPr>
        <sz val="8"/>
        <color theme="1"/>
        <rFont val="Calibri"/>
        <family val="2"/>
        <scheme val="minor"/>
      </rPr>
      <t>(Recommend View Only)</t>
    </r>
  </si>
  <si>
    <t>'Program Config'!$I$4</t>
  </si>
  <si>
    <t>ADD'L Docs Table Link 1</t>
  </si>
  <si>
    <t>ADD'L Docs Table Link 2</t>
  </si>
  <si>
    <t>ADD'L Docs Table Link 3</t>
  </si>
  <si>
    <t>ADD'L Docs Table Link 4</t>
  </si>
  <si>
    <t>Links</t>
  </si>
  <si>
    <t>Row=45
Column=15</t>
  </si>
  <si>
    <t>Column Reference</t>
  </si>
  <si>
    <t>Client LMS</t>
  </si>
  <si>
    <t>Deployment ID Header</t>
  </si>
  <si>
    <t>Deployment ID Response</t>
  </si>
  <si>
    <t>Redirection URL Header</t>
  </si>
  <si>
    <t>File Type</t>
  </si>
  <si>
    <t>XML Script</t>
  </si>
  <si>
    <t>XML Name Ext</t>
  </si>
  <si>
    <t>File Name Ext</t>
  </si>
  <si>
    <t>State Drop Down List</t>
  </si>
  <si>
    <t>States</t>
  </si>
  <si>
    <t>State Abbreviations</t>
  </si>
  <si>
    <t>Time Zones</t>
  </si>
  <si>
    <t>Type of Billing</t>
  </si>
  <si>
    <t>Market &amp; Contract Rates</t>
  </si>
  <si>
    <t>Text Field N/A</t>
  </si>
  <si>
    <t>LMS Environment</t>
  </si>
  <si>
    <t>V-Look UP for Whitelist Temp</t>
  </si>
  <si>
    <t>Verbiage</t>
  </si>
  <si>
    <t>Font Conversions Lower</t>
  </si>
  <si>
    <t>Font Conversions Upper</t>
  </si>
  <si>
    <t>This component is not necessary</t>
  </si>
  <si>
    <t>XML</t>
  </si>
  <si>
    <t>Alabama</t>
  </si>
  <si>
    <t>AL</t>
  </si>
  <si>
    <t>(GMT -5.0) Eastern Time (US &amp; Canada)</t>
  </si>
  <si>
    <t>Per Hour</t>
  </si>
  <si>
    <t>n/a</t>
  </si>
  <si>
    <t>STG / Test</t>
  </si>
  <si>
    <r>
      <rPr>
        <b/>
        <sz val="20"/>
        <color theme="0"/>
        <rFont val="Calibri"/>
        <family val="2"/>
        <scheme val="minor"/>
      </rPr>
      <t>F</t>
    </r>
    <r>
      <rPr>
        <b/>
        <sz val="18"/>
        <color theme="0"/>
        <rFont val="Calibri"/>
        <family val="2"/>
        <scheme val="minor"/>
      </rPr>
      <t xml:space="preserve">
</t>
    </r>
    <r>
      <rPr>
        <i/>
        <sz val="10"/>
        <color theme="0"/>
        <rFont val="Calibri"/>
        <family val="2"/>
        <scheme val="minor"/>
      </rPr>
      <t>(G for Links)</t>
    </r>
  </si>
  <si>
    <t>Alaska</t>
  </si>
  <si>
    <t>AK</t>
  </si>
  <si>
    <t>PROD</t>
  </si>
  <si>
    <r>
      <t xml:space="preserve">W
</t>
    </r>
    <r>
      <rPr>
        <i/>
        <sz val="10"/>
        <color theme="0"/>
        <rFont val="Calibri"/>
        <family val="2"/>
        <scheme val="minor"/>
      </rPr>
      <t>(X for Links)</t>
    </r>
  </si>
  <si>
    <t>Deployment ID</t>
  </si>
  <si>
    <t>This component to be provided by the client</t>
  </si>
  <si>
    <t>Issuer</t>
  </si>
  <si>
    <t>Arizona</t>
  </si>
  <si>
    <t>AZ</t>
  </si>
  <si>
    <t>(GMT -7.0) Mountain Time (US &amp; Canada)</t>
  </si>
  <si>
    <t>Sessions - Per Student</t>
  </si>
  <si>
    <r>
      <rPr>
        <b/>
        <sz val="20"/>
        <color theme="0"/>
        <rFont val="Calibri"/>
        <family val="2"/>
        <scheme val="minor"/>
      </rPr>
      <t>H</t>
    </r>
    <r>
      <rPr>
        <sz val="18"/>
        <color theme="0"/>
        <rFont val="Calibri"/>
        <family val="2"/>
        <scheme val="minor"/>
      </rPr>
      <t xml:space="preserve">
</t>
    </r>
    <r>
      <rPr>
        <i/>
        <sz val="10"/>
        <color theme="0"/>
        <rFont val="Calibri"/>
        <family val="2"/>
        <scheme val="minor"/>
      </rPr>
      <t>(No Links)</t>
    </r>
  </si>
  <si>
    <t>Arkansas</t>
  </si>
  <si>
    <t>(GMT -8.0) Pacific Time (US &amp; Canada)</t>
  </si>
  <si>
    <t>UserName Formats</t>
  </si>
  <si>
    <r>
      <t xml:space="preserve">Y
</t>
    </r>
    <r>
      <rPr>
        <i/>
        <sz val="10"/>
        <color theme="0"/>
        <rFont val="Calibri"/>
        <family val="2"/>
        <scheme val="minor"/>
      </rPr>
      <t>(Z for Links)</t>
    </r>
  </si>
  <si>
    <t>California</t>
  </si>
  <si>
    <t>CA</t>
  </si>
  <si>
    <t>(GMT -7.0) Arizona</t>
  </si>
  <si>
    <t>Sessions - Site Licenses</t>
  </si>
  <si>
    <r>
      <rPr>
        <b/>
        <sz val="20"/>
        <color theme="0"/>
        <rFont val="Calibri"/>
        <family val="2"/>
        <scheme val="minor"/>
      </rPr>
      <t>O</t>
    </r>
    <r>
      <rPr>
        <b/>
        <sz val="11"/>
        <color theme="0"/>
        <rFont val="Calibri"/>
        <family val="2"/>
        <scheme val="minor"/>
      </rPr>
      <t xml:space="preserve">
</t>
    </r>
    <r>
      <rPr>
        <i/>
        <sz val="10"/>
        <color theme="0"/>
        <rFont val="Calibri"/>
        <family val="2"/>
        <scheme val="minor"/>
      </rPr>
      <t>(P for Links)</t>
    </r>
  </si>
  <si>
    <t>Colorado</t>
  </si>
  <si>
    <t>(GMT -4.0) Atlantic Time (Canada)</t>
  </si>
  <si>
    <r>
      <rPr>
        <b/>
        <sz val="20"/>
        <color theme="0"/>
        <rFont val="Calibri"/>
        <family val="2"/>
        <scheme val="minor"/>
      </rPr>
      <t>B</t>
    </r>
    <r>
      <rPr>
        <b/>
        <sz val="11"/>
        <color theme="0"/>
        <rFont val="Calibri"/>
        <family val="2"/>
        <scheme val="minor"/>
      </rPr>
      <t xml:space="preserve">
</t>
    </r>
    <r>
      <rPr>
        <i/>
        <sz val="10"/>
        <color theme="0"/>
        <rFont val="Calibri"/>
        <family val="2"/>
        <scheme val="minor"/>
      </rPr>
      <t>(C for Links)</t>
    </r>
  </si>
  <si>
    <t>Connecticut</t>
  </si>
  <si>
    <t>CT</t>
  </si>
  <si>
    <t>Other</t>
  </si>
  <si>
    <t>SFTP Rostering</t>
  </si>
  <si>
    <r>
      <rPr>
        <b/>
        <sz val="20"/>
        <color theme="0"/>
        <rFont val="Calibri"/>
        <family val="2"/>
        <scheme val="minor"/>
      </rPr>
      <t>D</t>
    </r>
    <r>
      <rPr>
        <b/>
        <sz val="18"/>
        <color theme="0"/>
        <rFont val="Calibri"/>
        <family val="2"/>
        <scheme val="minor"/>
      </rPr>
      <t xml:space="preserve">
</t>
    </r>
    <r>
      <rPr>
        <b/>
        <i/>
        <sz val="10"/>
        <color theme="0"/>
        <rFont val="Calibri"/>
        <family val="2"/>
        <scheme val="minor"/>
      </rPr>
      <t>(E for Links)</t>
    </r>
  </si>
  <si>
    <t>Delaware</t>
  </si>
  <si>
    <t>DE</t>
  </si>
  <si>
    <t>Please ensure DMARC=pass</t>
  </si>
  <si>
    <r>
      <rPr>
        <b/>
        <sz val="20"/>
        <color theme="0"/>
        <rFont val="Calibri"/>
        <family val="2"/>
        <scheme val="minor"/>
      </rPr>
      <t>S</t>
    </r>
    <r>
      <rPr>
        <b/>
        <sz val="18"/>
        <color theme="0"/>
        <rFont val="Calibri"/>
        <family val="2"/>
        <scheme val="minor"/>
      </rPr>
      <t xml:space="preserve">
</t>
    </r>
    <r>
      <rPr>
        <b/>
        <i/>
        <sz val="10"/>
        <color theme="0"/>
        <rFont val="Calibri"/>
        <family val="2"/>
        <scheme val="minor"/>
      </rPr>
      <t>(T for Links)</t>
    </r>
  </si>
  <si>
    <t>JSON</t>
  </si>
  <si>
    <t>Florida</t>
  </si>
  <si>
    <t>FL</t>
  </si>
  <si>
    <t>Monthly Billing</t>
  </si>
  <si>
    <r>
      <t xml:space="preserve">U
</t>
    </r>
    <r>
      <rPr>
        <b/>
        <i/>
        <sz val="10"/>
        <color theme="0"/>
        <rFont val="Calibri"/>
        <family val="2"/>
        <scheme val="minor"/>
      </rPr>
      <t>(V for Links)</t>
    </r>
  </si>
  <si>
    <t>Georgia</t>
  </si>
  <si>
    <t>GA</t>
  </si>
  <si>
    <t>Unspecified Rostering</t>
  </si>
  <si>
    <r>
      <rPr>
        <b/>
        <sz val="20"/>
        <color theme="0"/>
        <rFont val="Calibri"/>
        <family val="2"/>
        <scheme val="minor"/>
      </rPr>
      <t>Q</t>
    </r>
    <r>
      <rPr>
        <b/>
        <sz val="11"/>
        <color theme="0"/>
        <rFont val="Calibri"/>
        <family val="2"/>
        <scheme val="minor"/>
      </rPr>
      <t xml:space="preserve">
</t>
    </r>
    <r>
      <rPr>
        <i/>
        <sz val="10"/>
        <color theme="0"/>
        <rFont val="Calibri"/>
        <family val="2"/>
        <scheme val="minor"/>
      </rPr>
      <t>(R for Links)</t>
    </r>
  </si>
  <si>
    <t>Hawaii</t>
  </si>
  <si>
    <t>HI</t>
  </si>
  <si>
    <t>SPEC Type</t>
  </si>
  <si>
    <r>
      <rPr>
        <b/>
        <sz val="20"/>
        <rFont val="Calibri"/>
        <family val="2"/>
        <scheme val="minor"/>
      </rPr>
      <t>AA</t>
    </r>
    <r>
      <rPr>
        <b/>
        <sz val="11"/>
        <rFont val="Calibri"/>
        <family val="2"/>
        <scheme val="minor"/>
      </rPr>
      <t xml:space="preserve">
</t>
    </r>
    <r>
      <rPr>
        <i/>
        <sz val="10"/>
        <rFont val="Calibri"/>
        <family val="2"/>
        <scheme val="minor"/>
      </rPr>
      <t>(AB for Links)</t>
    </r>
  </si>
  <si>
    <t>Idaho</t>
  </si>
  <si>
    <t>ID</t>
  </si>
  <si>
    <t>New Build</t>
  </si>
  <si>
    <r>
      <rPr>
        <b/>
        <sz val="20"/>
        <color theme="0"/>
        <rFont val="Calibri"/>
        <family val="2"/>
        <scheme val="minor"/>
      </rPr>
      <t>K</t>
    </r>
    <r>
      <rPr>
        <sz val="18"/>
        <color theme="0"/>
        <rFont val="Calibri"/>
        <family val="2"/>
        <scheme val="minor"/>
      </rPr>
      <t xml:space="preserve">
</t>
    </r>
    <r>
      <rPr>
        <i/>
        <sz val="10"/>
        <color theme="0"/>
        <rFont val="Calibri"/>
        <family val="2"/>
        <scheme val="minor"/>
      </rPr>
      <t>(No Links)</t>
    </r>
  </si>
  <si>
    <t>Illinois</t>
  </si>
  <si>
    <t>IL</t>
  </si>
  <si>
    <t>Platform</t>
  </si>
  <si>
    <t>Ticket</t>
  </si>
  <si>
    <r>
      <rPr>
        <b/>
        <sz val="20"/>
        <color theme="1"/>
        <rFont val="Calibri"/>
        <family val="2"/>
        <scheme val="minor"/>
      </rPr>
      <t>I</t>
    </r>
    <r>
      <rPr>
        <sz val="18"/>
        <color theme="1"/>
        <rFont val="Calibri"/>
        <family val="2"/>
        <scheme val="minor"/>
      </rPr>
      <t xml:space="preserve">
</t>
    </r>
    <r>
      <rPr>
        <i/>
        <sz val="10"/>
        <color theme="1"/>
        <rFont val="Calibri"/>
        <family val="2"/>
        <scheme val="minor"/>
      </rPr>
      <t>(No Links)</t>
    </r>
  </si>
  <si>
    <t>Indiana</t>
  </si>
  <si>
    <t>IN</t>
  </si>
  <si>
    <r>
      <t xml:space="preserve">AC
</t>
    </r>
    <r>
      <rPr>
        <i/>
        <sz val="10"/>
        <color theme="0"/>
        <rFont val="Calibri"/>
        <family val="2"/>
        <scheme val="minor"/>
      </rPr>
      <t>(AD for Links)</t>
    </r>
  </si>
  <si>
    <t>Iowa</t>
  </si>
  <si>
    <t>IA</t>
  </si>
  <si>
    <t>Rostering</t>
  </si>
  <si>
    <r>
      <t xml:space="preserve">L
</t>
    </r>
    <r>
      <rPr>
        <i/>
        <sz val="10"/>
        <rFont val="Calibri"/>
        <family val="2"/>
        <scheme val="minor"/>
      </rPr>
      <t>(No Links)</t>
    </r>
  </si>
  <si>
    <t>Kansas</t>
  </si>
  <si>
    <t>KS</t>
  </si>
  <si>
    <r>
      <t xml:space="preserve">AE
</t>
    </r>
    <r>
      <rPr>
        <i/>
        <sz val="10"/>
        <rFont val="Calibri"/>
        <family val="2"/>
        <scheme val="minor"/>
      </rPr>
      <t>(AF for Links)</t>
    </r>
  </si>
  <si>
    <t>Kentucky</t>
  </si>
  <si>
    <t>KY</t>
  </si>
  <si>
    <t>Follow UP Type</t>
  </si>
  <si>
    <t>Follow Up Note</t>
  </si>
  <si>
    <r>
      <t xml:space="preserve">J
</t>
    </r>
    <r>
      <rPr>
        <i/>
        <sz val="10"/>
        <rFont val="Calibri"/>
        <family val="2"/>
        <scheme val="minor"/>
      </rPr>
      <t>(No Links)</t>
    </r>
  </si>
  <si>
    <t>Louisiana</t>
  </si>
  <si>
    <t>LA</t>
  </si>
  <si>
    <r>
      <t xml:space="preserve">M
</t>
    </r>
    <r>
      <rPr>
        <i/>
        <sz val="10"/>
        <color theme="0"/>
        <rFont val="Calibri"/>
        <family val="2"/>
        <scheme val="minor"/>
      </rPr>
      <t>(N for Links)</t>
    </r>
  </si>
  <si>
    <t>List_Mgmnt</t>
  </si>
  <si>
    <t>Maine</t>
  </si>
  <si>
    <t>ME</t>
  </si>
  <si>
    <t>This component has not been configured yet</t>
  </si>
  <si>
    <t>Maryland</t>
  </si>
  <si>
    <t>Massachusetts</t>
  </si>
  <si>
    <t>MA</t>
  </si>
  <si>
    <t>Michigan</t>
  </si>
  <si>
    <t>MI</t>
  </si>
  <si>
    <t>Minnesota</t>
  </si>
  <si>
    <t>Mississippi</t>
  </si>
  <si>
    <t>MS</t>
  </si>
  <si>
    <t>Client Technical Contact</t>
  </si>
  <si>
    <t>Client Program Contacts</t>
  </si>
  <si>
    <t>Contact Type Drop Down</t>
  </si>
  <si>
    <t>Missouri</t>
  </si>
  <si>
    <t>MO</t>
  </si>
  <si>
    <t>Montana</t>
  </si>
  <si>
    <t>MT</t>
  </si>
  <si>
    <t>Technical Contact</t>
  </si>
  <si>
    <t>Nebraska</t>
  </si>
  <si>
    <t>NE</t>
  </si>
  <si>
    <t>Program Contact</t>
  </si>
  <si>
    <t>Nevada</t>
  </si>
  <si>
    <t>NV</t>
  </si>
  <si>
    <t>New Hampshire</t>
  </si>
  <si>
    <t>NH</t>
  </si>
  <si>
    <t>New Jersey</t>
  </si>
  <si>
    <t>NJ</t>
  </si>
  <si>
    <t>New Mexico</t>
  </si>
  <si>
    <t>NM</t>
  </si>
  <si>
    <t>Sales Rep</t>
  </si>
  <si>
    <t>New York</t>
  </si>
  <si>
    <t>NY</t>
  </si>
  <si>
    <t>North Carolina</t>
  </si>
  <si>
    <t>NC</t>
  </si>
  <si>
    <t>North Dakota</t>
  </si>
  <si>
    <t>ND</t>
  </si>
  <si>
    <t>Ohio</t>
  </si>
  <si>
    <t>OH</t>
  </si>
  <si>
    <t>Oklahoma</t>
  </si>
  <si>
    <t>OK</t>
  </si>
  <si>
    <t>Oregon</t>
  </si>
  <si>
    <t>OR</t>
  </si>
  <si>
    <t>Pennsylvania</t>
  </si>
  <si>
    <t>PA</t>
  </si>
  <si>
    <t>Rhode Island</t>
  </si>
  <si>
    <t>RI</t>
  </si>
  <si>
    <t>South Carolina</t>
  </si>
  <si>
    <t>South Dakota</t>
  </si>
  <si>
    <t>SD</t>
  </si>
  <si>
    <t>Tennessee</t>
  </si>
  <si>
    <t>TN</t>
  </si>
  <si>
    <t>Texas</t>
  </si>
  <si>
    <t>TX</t>
  </si>
  <si>
    <t>Utah</t>
  </si>
  <si>
    <t>UT</t>
  </si>
  <si>
    <t>Vermont</t>
  </si>
  <si>
    <t>VT</t>
  </si>
  <si>
    <t>Virginia</t>
  </si>
  <si>
    <t>VA</t>
  </si>
  <si>
    <t>Washington</t>
  </si>
  <si>
    <t>WA</t>
  </si>
  <si>
    <t>Washington DC</t>
  </si>
  <si>
    <t>DC</t>
  </si>
  <si>
    <t>West Virginia</t>
  </si>
  <si>
    <t>WV</t>
  </si>
  <si>
    <t>Wisconsin</t>
  </si>
  <si>
    <t>WI</t>
  </si>
  <si>
    <t>Wyoming</t>
  </si>
  <si>
    <t>WY</t>
  </si>
  <si>
    <t>British Virgin Islands</t>
  </si>
  <si>
    <t>BVI</t>
  </si>
  <si>
    <t>UniCharacters Link</t>
  </si>
  <si>
    <t>Huge List of Unicode Character Symbols (vertex42.com)</t>
  </si>
  <si>
    <t xml:space="preserve">Example </t>
  </si>
  <si>
    <t>"&amp;($A$1)&amp;"</t>
  </si>
  <si>
    <t>&lt;?xml version="&amp; ('XML Concat'!$A$1)&amp;"1.0"&amp; ('XML Concat'!$A$1)&amp;" encoding="&amp; ('XML Concat'!$A$1)&amp;"UTF-8"&amp; ('XML Concat'!$A$1)&amp;"?&gt;</t>
  </si>
  <si>
    <t>-=- Register Provider Domain Parameters -=-</t>
  </si>
  <si>
    <t>=- Register Provider Domain Parameters -=-</t>
  </si>
  <si>
    <t xml:space="preserve"> {</t>
  </si>
  <si>
    <t>Allow Membership Service Access:  No
Show User Acknowledgment:  No</t>
  </si>
  <si>
    <t>",
            "settings": {
                "platform": "</t>
  </si>
  <si>
    <t xml:space="preserve"> }</t>
  </si>
  <si>
    <t>",
                "placements": [</t>
  </si>
  <si>
    <t xml:space="preserve">    "public_jwk_url": "</t>
  </si>
  <si>
    <t xml:space="preserve">    "target_link_uri": "</t>
  </si>
  <si>
    <t xml:space="preserve">    "oidc_initiation_url": "</t>
  </si>
  <si>
    <t>These components are not necessary</t>
  </si>
  <si>
    <t>****Insert Screen Shot HERE****</t>
  </si>
  <si>
    <t xml:space="preserve">Once you’ve been able to “install” and test-launch our service from a course, please let us know so that we can check the payload that we receive from your LMS and make sure that we’re mapping the correct elements for user and course identifiers.  </t>
  </si>
  <si>
    <t xml:space="preserve">or watch this </t>
  </si>
  <si>
    <t>and the student facing link is</t>
  </si>
  <si>
    <t>Additionally, this link will help walk you through the install:</t>
  </si>
  <si>
    <t>****Insert Table Here****
Please Note:  The tool will not launch until all data strings are added to the configuration.
Once ready, please let me know when you have completed a couple of tests by launching from both student and teacher accounts in varying courses. I will review the data to verify that we have captured /mapped the user and course IDs most suitable for reporting.
If you have any questions about the configuration, please let me know.
Thank you,</t>
  </si>
  <si>
    <t>Please let me know when you’ve been able to test-launch it. I’ll need to look at our logs and make sure that we map the right fields for course and user IDs. 
Thank you,</t>
  </si>
  <si>
    <t>Please review and let me know if you have any questions.
Thank you,</t>
  </si>
  <si>
    <t>Thank you,</t>
  </si>
  <si>
    <t>AFTER the metadata configuration, this is what you will see: 
****Insert Screenshot****
If you have any questions along the way, please let me know and I'll be happy to help.
Thank you,</t>
  </si>
  <si>
    <t xml:space="preserve">for step-by-step instructions.  </t>
  </si>
  <si>
    <t xml:space="preserve">If you have any questions about the configuration, please don’t hesitate to reach out!   </t>
  </si>
  <si>
    <t>&amp;('Program Config'!$F$10)&amp;</t>
  </si>
  <si>
    <t>&amp;('Program Config'!$F$10)&amp;
&amp;(IF('Program Config'!$F$10&lt;&gt;0,'Program Config'!$F$10,"****Insert Client Name****")&amp;</t>
  </si>
  <si>
    <t xml:space="preserve">Once confirmed, the rostering implementation will occur in two phases.  First, I will configure your program to transmit rostering files within our stage environment for data verification with our development team; after completion and testing, we will repeat the process for production.
</t>
  </si>
  <si>
    <t>***Insert Screenshot of Client's Usernames from SQL Query***</t>
  </si>
  <si>
    <t xml:space="preserve">Please let me know if you have any questions now or along the way.
Hope you have a great day!
Thank you, 
</t>
  </si>
  <si>
    <t>Please let me know if you have any questions now or along the way.
Have a great day!
Thank you,</t>
  </si>
  <si>
    <t>Product(s):</t>
  </si>
  <si>
    <t>Provide User Name Format:</t>
  </si>
  <si>
    <t>Contact 
Category</t>
  </si>
  <si>
    <t>L,F</t>
  </si>
  <si>
    <t>First 
Name</t>
  </si>
  <si>
    <t>Second
 Name</t>
  </si>
  <si>
    <t>Second Name</t>
  </si>
  <si>
    <t>First Name</t>
  </si>
  <si>
    <t>Full 
Name</t>
  </si>
  <si>
    <t>Primary</t>
  </si>
  <si>
    <t>Primary 
Name</t>
  </si>
  <si>
    <r>
      <rPr>
        <b/>
        <sz val="16"/>
        <color rgb="FFC00000"/>
        <rFont val="Calibri"/>
        <family val="2"/>
        <scheme val="minor"/>
      </rPr>
      <t>New!</t>
    </r>
    <r>
      <rPr>
        <b/>
        <sz val="11"/>
        <color theme="4"/>
        <rFont val="Calibri"/>
        <family val="2"/>
        <scheme val="minor"/>
      </rPr>
      <t xml:space="preserve">  Client Name String &amp; Matching Component!</t>
    </r>
  </si>
  <si>
    <t>FN</t>
  </si>
  <si>
    <t>LN</t>
  </si>
  <si>
    <t>Full Name</t>
  </si>
  <si>
    <t xml:space="preserve">Paste Client Names String &amp; Select Matching Component </t>
  </si>
  <si>
    <t>Ava Mitchell</t>
  </si>
  <si>
    <t>AM</t>
  </si>
  <si>
    <t>ava.mitchell@FakeDemoData.com</t>
  </si>
  <si>
    <t>Liam Carter</t>
  </si>
  <si>
    <t>LC</t>
  </si>
  <si>
    <t>liam.carter@FakeDemoData.com</t>
  </si>
  <si>
    <t>Sofia Ramirez</t>
  </si>
  <si>
    <t>sofia.ramirez@FakeDemoData.com</t>
  </si>
  <si>
    <t>Noah Bennett</t>
  </si>
  <si>
    <t>NB</t>
  </si>
  <si>
    <t>noah.bennett@FakeDemoData.com</t>
  </si>
  <si>
    <t>Mia Thompson</t>
  </si>
  <si>
    <t>mia.thompson@FakeDemoData.com</t>
  </si>
  <si>
    <t>Jackson Hughes</t>
  </si>
  <si>
    <t>JH</t>
  </si>
  <si>
    <t>jackson.hughes@FakeDemoData.com</t>
  </si>
  <si>
    <t>Isabella Flores</t>
  </si>
  <si>
    <t>IF</t>
  </si>
  <si>
    <t>isabella.flores@FakeDemoData.com</t>
  </si>
  <si>
    <t>Lucas Morgan</t>
  </si>
  <si>
    <t>LM</t>
  </si>
  <si>
    <t>lucas.morgan@FakeDemoData.com</t>
  </si>
  <si>
    <t>Charlotte Price</t>
  </si>
  <si>
    <t>CP</t>
  </si>
  <si>
    <t>charlotte.price@FakeDemoData.com</t>
  </si>
  <si>
    <t>Ethan Rivera</t>
  </si>
  <si>
    <t>ER</t>
  </si>
  <si>
    <t>ethan.rivera@FakeDemoData.com</t>
  </si>
  <si>
    <t>Amelia Howard</t>
  </si>
  <si>
    <t>AH</t>
  </si>
  <si>
    <t>amelia.howard@FakeDemoData.com</t>
  </si>
  <si>
    <t>Oliver Brooks</t>
  </si>
  <si>
    <t>OB</t>
  </si>
  <si>
    <t>oliver.brooks@FakeDemoData.com</t>
  </si>
  <si>
    <t>Harper Sloan</t>
  </si>
  <si>
    <t>HS</t>
  </si>
  <si>
    <t>harper.sloan@FakeDemoData.com</t>
  </si>
  <si>
    <t>Elijah Myers</t>
  </si>
  <si>
    <t>EM</t>
  </si>
  <si>
    <t>elijah.myers@FakeDemoData.com</t>
  </si>
  <si>
    <t>Evelyn Grant</t>
  </si>
  <si>
    <t>EG</t>
  </si>
  <si>
    <t>evelyn.grant@FakeDemoData.com</t>
  </si>
  <si>
    <t>Jameson Cole</t>
  </si>
  <si>
    <t>JC</t>
  </si>
  <si>
    <t>jameson.cole@FakeDemoData.com</t>
  </si>
  <si>
    <t>Scarlett Wells</t>
  </si>
  <si>
    <t>SW</t>
  </si>
  <si>
    <t>scarlett.wells@FakeDemoData.com</t>
  </si>
  <si>
    <t>Benjamin Fox</t>
  </si>
  <si>
    <t>BF</t>
  </si>
  <si>
    <t>benjamin.fox@FakeDemoData.com</t>
  </si>
  <si>
    <t>Grace Turner</t>
  </si>
  <si>
    <t>GT</t>
  </si>
  <si>
    <t>grace.turner@FakeDemoData.com</t>
  </si>
  <si>
    <t>Michael Dawson</t>
  </si>
  <si>
    <t>michael.dawson@FakeDemoData.com</t>
  </si>
  <si>
    <t>LP</t>
  </si>
  <si>
    <t>Alexander Ruiz</t>
  </si>
  <si>
    <t>alexander.ruiz@FakeDemoData.com</t>
  </si>
  <si>
    <t>Chloe Kim</t>
  </si>
  <si>
    <t>CK</t>
  </si>
  <si>
    <t>chloe.kim@FakeDemoData.com</t>
  </si>
  <si>
    <t>Daniel Ortiz</t>
  </si>
  <si>
    <t>DO</t>
  </si>
  <si>
    <t>daniel.ortiz@FakeDemoData.com</t>
  </si>
  <si>
    <t>Zoe Parker</t>
  </si>
  <si>
    <t>ZP</t>
  </si>
  <si>
    <t>zoe.parker@FakeDemoData.com</t>
  </si>
  <si>
    <t>Matthew Stone</t>
  </si>
  <si>
    <t>matthew.stone@FakeDemoData.com</t>
  </si>
  <si>
    <t>Nora Greene</t>
  </si>
  <si>
    <t>NG</t>
  </si>
  <si>
    <t>nora.greene@FakeDemoData.com</t>
  </si>
  <si>
    <t>Samuel Lowe</t>
  </si>
  <si>
    <t>SL</t>
  </si>
  <si>
    <t>samuel.lowe@FakeDemoData.com</t>
  </si>
  <si>
    <t>Audrey Kimball</t>
  </si>
  <si>
    <t>audrey.kimball@FakeDemoData.com</t>
  </si>
  <si>
    <t>William Barnes</t>
  </si>
  <si>
    <t>WB</t>
  </si>
  <si>
    <t>william.barnes@FakeDemoData.com</t>
  </si>
  <si>
    <t>Penelope Hart</t>
  </si>
  <si>
    <t>PH</t>
  </si>
  <si>
    <t>penelope.hart@FakeDemoData.com</t>
  </si>
  <si>
    <t>Henry Vega</t>
  </si>
  <si>
    <t>HV</t>
  </si>
  <si>
    <t>henry.vega@FakeDemoData.com</t>
  </si>
  <si>
    <t>Victoria Lane</t>
  </si>
  <si>
    <t>VL</t>
  </si>
  <si>
    <t>victoria.lane@FakeDemoData.com</t>
  </si>
  <si>
    <t>Caleb Bishop</t>
  </si>
  <si>
    <t>CB</t>
  </si>
  <si>
    <t>caleb.bishop@FakeDemoData.com</t>
  </si>
  <si>
    <t>Leah Adler</t>
  </si>
  <si>
    <t>leah.adler@FakeDemoData.com</t>
  </si>
  <si>
    <t>Owen Pratt</t>
  </si>
  <si>
    <t>OP</t>
  </si>
  <si>
    <t>owen.pratt@FakeDemoData.com</t>
  </si>
  <si>
    <t>Ruby Ellis</t>
  </si>
  <si>
    <t>RE</t>
  </si>
  <si>
    <t>ruby.ellis@FakeDemoData.com</t>
  </si>
  <si>
    <t>Gavin Park</t>
  </si>
  <si>
    <t>GP</t>
  </si>
  <si>
    <t>gavin.park@FakeDemoData.com</t>
  </si>
  <si>
    <t>Maya Chen</t>
  </si>
  <si>
    <t>MC</t>
  </si>
  <si>
    <t>maya.chen@FakeDemoData.com</t>
  </si>
  <si>
    <t>Nolan Reed</t>
  </si>
  <si>
    <t>NR</t>
  </si>
  <si>
    <t>nolan.reed@FakeDemoData.com</t>
  </si>
  <si>
    <t>Isla Quinn</t>
  </si>
  <si>
    <t>IQ</t>
  </si>
  <si>
    <t>isla.quinn@FakeDemoData.com</t>
  </si>
  <si>
    <t>Theo Navarro</t>
  </si>
  <si>
    <t>theo.navarro@FakeDemoData.com</t>
  </si>
  <si>
    <t>Clara Doyle</t>
  </si>
  <si>
    <t>CD</t>
  </si>
  <si>
    <t>clara.doyle@FakeDemoData.com</t>
  </si>
  <si>
    <t>DemoData1 Sessions</t>
  </si>
  <si>
    <t>LATEST (Default)</t>
  </si>
  <si>
    <t>LATEST Redirection URL Response</t>
  </si>
  <si>
    <t>LEGACY Redirection URL Response</t>
  </si>
  <si>
    <t>LEGACY</t>
  </si>
  <si>
    <t>Lily DemoData2el</t>
  </si>
  <si>
    <t>lily.DemoData2el@FakeDemoData.com</t>
  </si>
  <si>
    <t>DemoData2 Configuration</t>
  </si>
  <si>
    <t>DemoData2 Program ID</t>
  </si>
  <si>
    <t>DemoData2: PNG, JPG &amp; GIF        CST: IMG &amp; GIF</t>
  </si>
  <si>
    <t>Sessions - DemoDataPlus</t>
  </si>
  <si>
    <t>; and chat, audio, and video communications for High-Dosage DemoDataing.</t>
  </si>
  <si>
    <t>SFTP Rostering with DemoData.com</t>
  </si>
  <si>
    <t>@DemoData.com</t>
  </si>
  <si>
    <t>SFTP Rostering with the DemoData.com Teacher Dashboard</t>
  </si>
  <si>
    <t>SFTP Rostering with the DemoData.com Teacher Dashboard and High Dosage DemoDataing</t>
  </si>
  <si>
    <t>rostering with DemoData.com</t>
  </si>
  <si>
    <t>rostering with the DemoData.com Teacher Dashboard</t>
  </si>
  <si>
    <t>rostering with the DemoData.com Teacher Dashboard and High Dosage DemoDataing</t>
  </si>
  <si>
    <t>Activity name:  DemoData.com - 24/7 Online DemoDataing
Preconfigured tool:  Automatic, based on tool URL</t>
  </si>
  <si>
    <t xml:space="preserve"> Pages 12 and 13 refer to deploying External Tools which is what DemoData.com will be listed as to your students.  </t>
  </si>
  <si>
    <t>*.DemoData.com</t>
  </si>
  <si>
    <t>DemoData3 Property Name:</t>
  </si>
  <si>
    <t>This component will be configured by DemoData3</t>
  </si>
  <si>
    <t>*.DemoData4.com</t>
  </si>
  <si>
    <t>DemoData3 Name:</t>
  </si>
  <si>
    <t>https://www.linkedin.com/in/jo-ann-balsamo</t>
  </si>
  <si>
    <t xml:space="preserve">LMS1 Matching </t>
  </si>
  <si>
    <t>LMS2 OneRoster</t>
  </si>
  <si>
    <t>LMS2 OneRoster with DemoData.com</t>
  </si>
  <si>
    <t>LMS2 OneRoster with the DemoData.com Teacher Dashboard</t>
  </si>
  <si>
    <t>LMS2 OneRoster with the DemoData.com Teacher Dashboard and High Dosage DemoDataing</t>
  </si>
  <si>
    <t>LMS3 Rostering</t>
  </si>
  <si>
    <t>LMS3 Rostering with DemoData.com</t>
  </si>
  <si>
    <t>LMS3 Rostering with the DemoData.com Teacher Dashboard</t>
  </si>
  <si>
    <t>LMS3 Rostering with the DemoData.com Teacher Dashboard and High Dosage DemoDataing</t>
  </si>
  <si>
    <t>LMS3</t>
  </si>
  <si>
    <t xml:space="preserve">Good Morning,
Great news, your program shell has been configured and we are ready for next steps.  
1.  Can you please confirm this is the correct LMS3 District ID? Once confirmed, I will send you an invitation to connect.  
 **** Insert Screenshot from LMS3 with their DISTRICT ID identified****
 2.  Once connected, please designate your sharing preferences for the DemoData.com/LMS3 connection.
 **** Insert Screenshot from LMS3 sharing settings radials****
3.  When the sharing settings are correct for the ****ENTER GRADE LEVEL HERE**** you wish to access DemoData.com, we’ll ask you to run some tests to make sure we see the correct information on our end. For additional support on sharing rules and set up, please
</t>
  </si>
  <si>
    <t xml:space="preserve">To get started, we first need to confirm your rostering method. At DemoData.com, we are able to roster via LMS2 with the OneRoster Standard, LMS3 or SFTP.  
Once your rostering method is confirmed, I will send you instructions to initiate the transfer of your roster files and our development team will begin the data verification process. This process may vary depending on your rostering method. </t>
  </si>
  <si>
    <t>****Insert LMS3 District ID Screenshot here****</t>
  </si>
  <si>
    <t xml:space="preserve">Once connected in LMS3, we will be able to initiate LMS3 Rostering in our Stage environment and start the data verification process.  During the data verification, we will review what LMS3 is sending us in the rostering files and compare it to what we are receiving from your current connection/access point to make sure it matches.  This will not have an impact on or disrupt the current integration methods.  </t>
  </si>
  <si>
    <t>If you are ready to move forward, please notify me so that I send the sharing invite and recommendations in LMS3.  Once both are accepted, I will initiate LMS3 Rostering process in our Stage environment.  After the Stage environment data verification is complete, we will be able to initiate rostering in PRODUCTION for your program.  
Please let me know if you have any questions along the way.  I’m also available to jump on a Teams call to discuss the process if you would prefer.
Thank you,</t>
  </si>
  <si>
    <t>LMS4</t>
  </si>
  <si>
    <t>LMS6</t>
  </si>
  <si>
    <t>2nd Subject1</t>
  </si>
  <si>
    <t xml:space="preserve">2nd Subject2
</t>
  </si>
  <si>
    <t>Subject3</t>
  </si>
  <si>
    <t>Sessions - Contract 1</t>
  </si>
  <si>
    <r>
      <t>Institution Name</t>
    </r>
    <r>
      <rPr>
        <sz val="11"/>
        <color theme="0"/>
        <rFont val="Calibri"/>
        <family val="2"/>
        <scheme val="minor"/>
      </rPr>
      <t xml:space="preserve"> </t>
    </r>
    <r>
      <rPr>
        <sz val="9"/>
        <color theme="0"/>
        <rFont val="Calibri"/>
        <family val="2"/>
        <scheme val="minor"/>
      </rPr>
      <t>(Finance Name):</t>
    </r>
  </si>
  <si>
    <t>LM7 Developer &amp; DemoData3 Crosswalk</t>
  </si>
  <si>
    <t>LM7 Issuer (=DemoData3 Issuer)</t>
  </si>
  <si>
    <t>LM7</t>
  </si>
  <si>
    <t xml:space="preserve">LM7 Matching </t>
  </si>
  <si>
    <t>MARKET2</t>
  </si>
  <si>
    <t>MARKET3 Whitelist Request</t>
  </si>
  <si>
    <t>MARKET3</t>
  </si>
  <si>
    <t>LMS8</t>
  </si>
  <si>
    <t>PRODUCT2</t>
  </si>
  <si>
    <t>PRODUCT1</t>
  </si>
  <si>
    <t>PRODUCT1 + PRODUCT2</t>
  </si>
  <si>
    <t>MARKET2 Special Course Hours | Normed to MARKET2 Templates #### &amp; 3418 on 7/25/2025</t>
  </si>
  <si>
    <t>MARKET4</t>
  </si>
  <si>
    <t>DOC1 Data Source</t>
  </si>
  <si>
    <t>DOC1/Account Name:</t>
  </si>
  <si>
    <t>Link to DOC1:</t>
  </si>
  <si>
    <t>###</t>
  </si>
  <si>
    <t>####–######</t>
  </si>
  <si>
    <t>http://purl.demodata7.org/vocab/lis/v2/institution/membership#Member</t>
  </si>
  <si>
    <t>http://purl.demodata7.org/vocab/lis/v2/institution/person#Student</t>
  </si>
  <si>
    <t>LMS10</t>
  </si>
  <si>
    <t>LMS11</t>
  </si>
  <si>
    <t>PRODUCT3</t>
  </si>
  <si>
    <t>PRODUCT1 + PRODUCT3</t>
  </si>
  <si>
    <t>PRODUCT1 + PRODUCT4 + PRODUCT2</t>
  </si>
  <si>
    <t>PRODUCT1 + PRODUCT4 + PRODUCT3</t>
  </si>
  <si>
    <t>custom_ap (Full ClPRODUCT4 m)</t>
  </si>
  <si>
    <t>https://{domPRODUCT4 n}/{clPRODUCT4 mDemoData2h}</t>
  </si>
  <si>
    <t>PRODUCT1 + PRODUCT4</t>
  </si>
  <si>
    <t>JLB Tags</t>
  </si>
  <si>
    <t>JLB Contacts</t>
  </si>
  <si>
    <t>JLB (Not on List)</t>
  </si>
  <si>
    <t>LMS12 - Client JLB Integration</t>
  </si>
  <si>
    <t>LMS2 - Client JLB Integration</t>
  </si>
  <si>
    <t xml:space="preserve">Link to B Drive Folder:  </t>
  </si>
  <si>
    <t>All 
PRODCUT4</t>
  </si>
  <si>
    <t>New!  Primary Radial &amp; All PRODCUT4 Check Boxes!</t>
  </si>
  <si>
    <t xml:space="preserve">  •   Enter up to 10 PRODCUT4 addresses OR names</t>
  </si>
  <si>
    <t xml:space="preserve">Dropping a text string of all client contacts &amp; selecting if their first name or second names match their PRODCUT4 will populate their full names. </t>
  </si>
  <si>
    <t xml:space="preserve">           Technical Contact --&gt; Integration / Migration + Whitelist + Rostering/PRODUCT2
           Program Contact --&gt; Program Preferences
           All Client PRODCUT4 --&gt; All Client PRODCUT4</t>
  </si>
  <si>
    <t xml:space="preserve">Pro Tip: Grab client PRODCUT4 and names string from the meeting invite in the Outlook Schedule Assistant. </t>
  </si>
  <si>
    <t>Client Statement w/PRODUCT4  Address 
#1</t>
  </si>
  <si>
    <t>&lt;p&gt;***Insert Client Text (Before PRODCUT4 address) HERE*** &lt;a href="mPRODUCT4 lto:jbalsamo@DemoData.com"&gt; jbalsamo@DemoData.com &lt;/a&gt; or &lt;a href="mPRODUCT4 lto:jbalsamo2@DemoData.com"&gt; jbalsamo2@DemoData.com &lt;/a&gt;***Insert Client Text (After PRODCUT4 address) HERE***&lt;p&gt;&lt;br&gt;</t>
  </si>
  <si>
    <t>Before PRODCUT4</t>
  </si>
  <si>
    <t>PRODCUT4</t>
  </si>
  <si>
    <t>After PRODCUT4</t>
  </si>
  <si>
    <t>CSM PRODCUT4</t>
  </si>
  <si>
    <t>Program Preferences PRODCUT4</t>
  </si>
  <si>
    <t>Copy PRODCUT4 to user_id</t>
  </si>
  <si>
    <t>lis_person_contact_PRODCUT4_primary</t>
  </si>
  <si>
    <t>Copy PRODCUT4 to Sub</t>
  </si>
  <si>
    <t>tool_consumer_instance_contact_PRODCUT4</t>
  </si>
  <si>
    <t xml:space="preserve">DemoData2 Monthly Report CSM PRODCUT4: </t>
  </si>
  <si>
    <t xml:space="preserve">DemoData2 Monthly Report Sales PRODCUT4: </t>
  </si>
  <si>
    <t xml:space="preserve">Contact PRODCUT4 </t>
  </si>
  <si>
    <t>Identify additional people who should be copied on program PRODCUT4 (including client PRODCUT4 addresses):</t>
  </si>
  <si>
    <t xml:space="preserve">  •   @DemoData.com &amp; @demodata.com PRODCUT4 will 
        automagically be added to all PRODCUT4 CCs &amp; Tags</t>
  </si>
  <si>
    <t>Primary 
PRODCUT4</t>
  </si>
  <si>
    <t>Kick Off Call PRODUCT4 ls (If Known)</t>
  </si>
  <si>
    <t>Updated on 2025-08-20 @ 9:23 AM by JLB</t>
  </si>
  <si>
    <t>Unique PRODUCT4 (If Needed)</t>
  </si>
  <si>
    <t>Program Info for Unique PRODUCT4 Spreadsheet</t>
  </si>
  <si>
    <t>MARKET1</t>
  </si>
  <si>
    <t>MARKET 5</t>
  </si>
  <si>
    <t>MARKET6</t>
  </si>
  <si>
    <t>Rostering + PROD7 + PRODUCT2</t>
  </si>
  <si>
    <t>LMS3 Rostering + PROD7</t>
  </si>
  <si>
    <t>LMS3 Rostering + PROD7 + PRODUCT2</t>
  </si>
  <si>
    <t>LMS2 OneRoster + PROD7</t>
  </si>
  <si>
    <t>LMS2 OneRoster + PROD7 + PRODUCT2</t>
  </si>
  <si>
    <t>SFTP Rostering + PROD7</t>
  </si>
  <si>
    <t>SFTP Rostering + PROD7 + PRODUCT2</t>
  </si>
  <si>
    <t>Unspecified Rostering + PROD7</t>
  </si>
  <si>
    <t>Unspecified Rostering + PROD7 + PRODUCT2</t>
  </si>
  <si>
    <t>ScMARKET2ule JLB/Calendar Reminder for New Build Follow Up</t>
  </si>
  <si>
    <t>ScMARKET2ule  JLB/Calendar Reminder for Rostering Follow Up</t>
  </si>
  <si>
    <t>ScMARKET2ule  JLB/Calendar Reminder for JLB Ticket Follow Up</t>
  </si>
  <si>
    <t>JLB Ticket Update</t>
  </si>
  <si>
    <t>*.linkedin.com/in/jo-ann-balsamo/</t>
  </si>
  <si>
    <t xml:space="preserve">Good Morning,
It was so nice to meet everyone on the call today!
To configure your DemoData.com program/site, we’ll first need a copy of your LMS4 X.yxyz certificate.  Please send that at your earliest convenience so that we can attach it to your custom DemoData.com site for students to access through the LMS4 waffle. I’ve also MARKET2 a video walk through to help with integration. Please let me know if you would like to meet on a Teams call to go over these steps. </t>
  </si>
  <si>
    <t xml:space="preserve">Note: If client PRODCUT4 do not use either first or second name, you can still use the client name string and then manually assign each full name from the drop-down menu. The auto populate formula will not work once a select is made from the drop-down menu. </t>
  </si>
  <si>
    <t xml:space="preserve">  •   All PRODCUT4 from other PRODUCT4 will be added to 
       TO lines according to the Client Contact Type* 
       selected from the drop down, see list below</t>
  </si>
  <si>
    <t>*If no Client Contact Type is selected and the PRODUCT4 is not @DemoData.com or @demodata.com, the contact will be added to all client PRODCUT4</t>
  </si>
  <si>
    <t>PRODUCT2 MARKET2 Link:</t>
  </si>
  <si>
    <t>oath_custom_DemoData27</t>
  </si>
  <si>
    <t>LM7 Public DemoData27set URL (=DemoData3 DemoData27set URL)</t>
  </si>
  <si>
    <t>DemoData727</t>
  </si>
  <si>
    <t>Uppercase DemoData727</t>
  </si>
  <si>
    <t>tool_consumer_instance_DemoData727</t>
  </si>
  <si>
    <t>custom_DemoData27name (Full ClPRODUCT4 m)</t>
  </si>
  <si>
    <t>custom_DemoData27name</t>
  </si>
  <si>
    <t>Client/ Application ID / DemoData72 Header</t>
  </si>
  <si>
    <t>Client/ Application ID / DemoData72 Response</t>
  </si>
  <si>
    <t>DemoData72</t>
  </si>
  <si>
    <t>LMS1 - DemoData27 &amp; DemoData72 Text Grab</t>
  </si>
  <si>
    <t xml:space="preserve">LM7 DemoData27 &amp; DemoData72 Text Grab </t>
  </si>
  <si>
    <t>LMS9 / LMS8 - DemoData27 &amp; DemoData72 Text Grab</t>
  </si>
  <si>
    <t>LMS4 DemoData27 &amp; DemoData72 Text Grab</t>
  </si>
  <si>
    <t>LMS10 DemoData27 &amp; DemoData72 Text Grab</t>
  </si>
  <si>
    <t>LMS3 DemoData27 &amp; DemoData72 Text Grab</t>
  </si>
  <si>
    <t>LMS6 DemoData27 &amp; DemoData72 Text Grab</t>
  </si>
  <si>
    <t>LMS11 DemoData27 &amp; DemoData72 Text Grab</t>
  </si>
  <si>
    <t>LMS12 DemoData27 &amp; DemoData72 Grab</t>
  </si>
  <si>
    <t>LMS2 DemoData27 &amp; DemoData72 Grab</t>
  </si>
  <si>
    <t>LMS5 - DemoData27 &amp; DemoData72 Text Grab</t>
  </si>
  <si>
    <t>DemoData27 / Issuer Header</t>
  </si>
  <si>
    <t>DemoData27 / Issuer Response</t>
  </si>
  <si>
    <t>DemoData27set URL Header</t>
  </si>
  <si>
    <t>DemoData27set URL Response</t>
  </si>
  <si>
    <t>DemoData27 &amp; DemoData72 Text Grab</t>
  </si>
  <si>
    <t>DemoData27</t>
  </si>
  <si>
    <t>DemoData27 Set URL (=LMS7Public DemoData27set URL)</t>
  </si>
  <si>
    <t>DemoData27 Set URL</t>
  </si>
  <si>
    <t>Adding Service Provider Details (#5 in LMS10 Application DemoData727e):
 -=- Service Provider Details -=-</t>
  </si>
  <si>
    <t xml:space="preserve">MARKET2, please find: 
            · Reference DemoData727e for DemoData.com LMS10 Set-up  
            · Icon for DemoData.com app (note:  recommend naming new app DemoDataDotCom)  
            · Adding Service Provider Details (Step #5 in DemoData727e) 
            · Detailed Video Reference Walk through  </t>
  </si>
  <si>
    <t>To get started, I have included an overview of the DemoData.com Rostering Using the OneRoster Standard DemoData727e.  Next steps would be to confirm your rostering method if, for some reason, you are not intending to use OneRoster. 
Once confirmed, I will send you instructions to initiate sending your roster files and our development team will begin the data verification process.</t>
  </si>
  <si>
    <t xml:space="preserve">To get started, I have included an overview of the DemoData.com LMS3 Rostering DemoData727e.  Next steps would be to confirm your LMS3 ID (if not already connected to JLB via LMS3). </t>
  </si>
  <si>
    <t>To get started, I have included an overview of the DemoData.com Rostering Using WinSCP process. Please Note: Although we provide instructions for WinSCP, it is not required, and you may use a different SFTP client if you prefer.
Next steps would be to confirm your rostering method if, for some reason, you are not intending to roster via SFTP. 
Once SFTP rostering is confirmed, you can follow the steps in Part I of the MARKET2 DemoData727e to generate and send me your public DemoData27 file. I will then provide a host name and let you know that it is okay to proceed to Part II of the DemoData727e. Once you notify me that Part II is complete and you have initiated the transfer of your roster files, our development team will begin the data verification process.</t>
  </si>
  <si>
    <t>New✨ The AUTO /PUBLIC/ will be generated from the client's URL; override this by entering a /PUBLIC/ in C32</t>
  </si>
  <si>
    <t>Manual /PUBLIC/ Override:</t>
  </si>
  <si>
    <t>New ✨ The AUTO /PUBLIC/ will be used unless over-ridden with a manually entered /PUBLIC/ in C32; if not overriding the AUTO /PUBLIC/, this manual field can be left blank</t>
  </si>
  <si>
    <t>PUBLIC Name (Not Valid for SSO Programs)</t>
  </si>
  <si>
    <t>Good Morning, 
It was great to meet you all! 
Your DemoData.com program has been configured and is ready to have students / users loaded; the list below outlines the information we will need for each student / user who will be granted access to your DemoData.com program.  
The PUBLIC DemoData2h for your program is</t>
  </si>
  <si>
    <t>UAP</t>
  </si>
  <si>
    <t>LM7 ATE (Not Captured in DemoData3)</t>
  </si>
  <si>
    <t>ALU Header</t>
  </si>
  <si>
    <t>ALU Response</t>
  </si>
  <si>
    <t>ALU</t>
  </si>
  <si>
    <t>DemoData72 / CID Header</t>
  </si>
  <si>
    <t>DemoData72 / CID Response</t>
  </si>
  <si>
    <t>CID (=LM7 Application ID)</t>
  </si>
  <si>
    <t>CID</t>
  </si>
  <si>
    <t xml:space="preserve">In order to complete the configuration, you will need the Application ID / CID below and found on page 1 of the MARKET2 client DemoData727e with detailed information.  
Application ID / CID:    </t>
  </si>
  <si>
    <t>ILU Header</t>
  </si>
  <si>
    <t>LEGACY ILU Response</t>
  </si>
  <si>
    <t>LATEST ILU Response</t>
  </si>
  <si>
    <t>Client AP</t>
  </si>
  <si>
    <t>https://purl.demodata7.org/spec/GENINTEGRATION/clPRODUCT4 m/context|id</t>
  </si>
  <si>
    <t>https://purl.demodata7.org/spec/GENINTEGRATION/clPRODUCT4 m/context|label</t>
  </si>
  <si>
    <t>https://purl.demodata7.org/spec/GENINTEGRATION/clPRODUCT4 m/context|title</t>
  </si>
  <si>
    <t>https://purl.demodata7.org/spec/GENINTEGRATION/clPRODUCT4 m/context|type</t>
  </si>
  <si>
    <t>https://purl.demodata7.org/spec/GENINTEGRATION/clPRODUCT4 m/custom|custom_ap</t>
  </si>
  <si>
    <t>https://purl.demodata7.org/spec/GENINTEGRATION/clPRODUCT4 m/custom|custom_DemoData27name</t>
  </si>
  <si>
    <t>https://purl.demodata7.org/spec/GENINTEGRATION/clPRODUCT4 m/launch_presentation|document_target</t>
  </si>
  <si>
    <t>https://purl.demodata7.org/spec/GENINTEGRATION/clPRODUCT4 m/launch_presentation|height</t>
  </si>
  <si>
    <t>https://purl.demodata7.org/spec/GENINTEGRATION/clPRODUCT4 m/launch_presentation|locale</t>
  </si>
  <si>
    <t>https://purl.demodata7.org/spec/GENINTEGRATION/clPRODUCT4 m/launch_presentation|return_url</t>
  </si>
  <si>
    <t>https://purl.demodata7.org/spec/GENINTEGRATION/clPRODUCT4 m/launch_presentation|width</t>
  </si>
  <si>
    <t>https://purl.demodata7.org/spec/GENINTEGRATION/clPRODUCT4 m/tool_platform|product_family_code</t>
  </si>
  <si>
    <t>GENINTEGRATION_message_type</t>
  </si>
  <si>
    <t>https://purl.demodata7.org/spec/GENINTEGRATION/clPRODUCT4 m/message_type</t>
  </si>
  <si>
    <t>GENINTEGRATION_version</t>
  </si>
  <si>
    <t>https://purl.demodata7.org/spec/GENINTEGRATION/clPRODUCT4 m/version</t>
  </si>
  <si>
    <t>https://purl.demodata7.org/spec/GENINTEGRATION/clPRODUCT4 m/resource_link|description</t>
  </si>
  <si>
    <t>https://purl.demodata7.org/spec/GENINTEGRATION/clPRODUCT4 m/resource_link|id</t>
  </si>
  <si>
    <t>https://purl.demodata7.org/spec/GENINTEGRATION/clPRODUCT4 m/resource_link|title</t>
  </si>
  <si>
    <t>https://purldemodata7.org/spec/GENINTEGRATION/clPRODUCT4 m/role_scope_mentor</t>
  </si>
  <si>
    <t>https://purl.demodata7.org/spec/GENINTEGRATION/clPRODUCT4 m/roles|0</t>
  </si>
  <si>
    <t>https://purl.demodata7.org/spec/GENINTEGRATION/clPRODUCT4 m/roles|1</t>
  </si>
  <si>
    <t>https://purl.demodata7.org/spec/GENINTEGRATION/clPRODUCT4 m/roles|2</t>
  </si>
  <si>
    <t>https://purl.demodata7.org/spec/GENINTEGRATION/clPRODUCT4 m/roles|3</t>
  </si>
  <si>
    <t>https://purl.demodata7.org/spec/GENINTEGRATION/clPRODUCT4 m/tool_platform|version</t>
  </si>
  <si>
    <t>https://purl.demodata7.org/spec/GENINTEGRATION/clPRODUCT4 m/tool_platform|PRODCUT4</t>
  </si>
  <si>
    <t>https://purl.demodata7.org/spec/GENINTEGRATION/clPRODUCT4 m/tool_platform|description</t>
  </si>
  <si>
    <t>https://purl.demodata7.org/spec/GENINTEGRATION/clPRODUCT4 m/tool_platform|DemoData727</t>
  </si>
  <si>
    <t>https://purl.demodata7.org/spec/GENINTEGRATION/clPRODUCT4 m/tool_platform|name</t>
  </si>
  <si>
    <t>https://purl.demodata7.org/spec/GENINTEGRATION/clPRODUCT4 m/tool_platform|url</t>
  </si>
  <si>
    <t>GENINTEGRATION Handler</t>
  </si>
  <si>
    <t>GENINTEGRATION Response</t>
  </si>
  <si>
    <t>BB_GENINTEGRATION_1-1</t>
  </si>
  <si>
    <t>BB_GENINTEGRATION_1-3</t>
  </si>
  <si>
    <t>LMS8_GENINTEGRATION_1-1</t>
  </si>
  <si>
    <t>LMS8_GENINTEGRATION_1-3</t>
  </si>
  <si>
    <t>LMS12_GENINTEGRATION_1-1</t>
  </si>
  <si>
    <t>CAN_Able_GENINTEGRATION_1-1</t>
  </si>
  <si>
    <t>CAN_DIS_GENINTEGRATION_1-1</t>
  </si>
  <si>
    <t>LMS2_GENINTEGRATION_1-1</t>
  </si>
  <si>
    <t>LMS2_GENINTEGRATION_1-3</t>
  </si>
  <si>
    <t>LMS5_GENINTEGRATION_1-3</t>
  </si>
  <si>
    <t>LMS6_GENINTEGRATION_1-1</t>
  </si>
  <si>
    <t>LMS6_GENINTEGRATION_1-3</t>
  </si>
  <si>
    <t>&lt;cartridge_demodata9_link xmlns="https://www.linkedin.com/in/jo-ann-balsamo"
    xmlns:bGENINTEGRATION = "https://www.linkedin.com/in/jo-ann-balsamo"
    xmlns:GENINTEGRATIONcm ="https://www.linkedin.com/in/jo-ann-balsamo"
    xmlns:GENINTEGRATIONcp ="https://www.linkedin.com/in/jo-ann-balsamo"
    xmlns:xsi = "https://www.linkedin.com/in/jo-ann-balsamo"
    xsi:schemaLocation = ""https://www.linkedin.com/in/jo-ann-balsamo""&gt;</t>
  </si>
  <si>
    <t>&lt;cartridge_demodata9_link xmlns="https://www.linkedin.com/in/jo-ann-balsamo"
    xmlns:bGENINTEGRATION = "https://www.linkedin.com/in/jo-ann-balsamo"
    xmlns:GENINTEGRATIONcm ="https://www.linkedin.com/in/jo-ann-balsamo"
    xmlns:GENINTEGRATIONcp ="https://www.linkedin.com/in/jo-ann-balsamo"
    xmlns:xsi = "https://www.linkedin.com/in/jo-ann-balsamo"
    xsi:schemaLocation = "https://www.linkedin.com/in/jo-ann-balsamo"&gt;</t>
  </si>
  <si>
    <t>https://www.linkedin.com/in/jo-ann-balsamo
    https://www.linkedin.com/in/jo-ann-balsamo
 https://www.linkedin.com/in/jo-ann-balsamo
    https://www.linkedin.com/in/jo-ann-balsamo
 https://www.linkedin.com/in/jo-ann-balsamo
    https://www.linkedin.com/in/jo-ann-balsamo
 https://www.linkedin.com/in/jo-ann-balsamo"&gt;
    &lt;bGENINTEGRATION:title&gt;DemoData.com: 24/7 Online DemoDataing&lt;/bGENINTEGRATION:title&gt;
    &lt;bGENINTEGRATION:description&gt;Connect with a DemoData now for real-time, one-to-one help.  No appointment required.&lt;/bGENINTEGRATION:description&gt;</t>
  </si>
  <si>
    <t>https://www.linkedin.com/in/jo-ann-balsamo
    https://www.linkedin.com/in/jo-ann-balsamo https://www.linkedin.com/in/jo-ann-balsamo
    https://www.linkedin.com/in/jo-ann-balsamo
 https://www.linkedin.com/in/jo-ann-balsamo
    https://www.linkedin.com/in/jo-ann-balsamo
 https://www.linkedin.com/in/jo-ann-balsamo"&gt;
    &lt;bGENINTEGRATION:title&gt;DemoData.com: 24/7 Online DemoDataing&lt;/bGENINTEGRATION:title&gt;
    &lt;bGENINTEGRATION:description&gt;Connect with a DemoData now for real-time, one-to-one help.  No appointment required.&lt;/bGENINTEGRATION:description&gt;</t>
  </si>
  <si>
    <t xml:space="preserve">                    {
                        "text": "DemoData.com",
                        "placement": "link_selection",
                        "message_type": "GENINTEGRATIONResourceLinkRequest",
                        "windowTarget": "_blank",
                        "target_link_uri": "</t>
  </si>
  <si>
    <t xml:space="preserve">                   {
                        "text": "DemoData.com",
                        "placement": "course_navigation",
                        "message_type": "GENINTEGRATIONResourceLinkRequest",
                        "windowTarget": "_blank",
                        "target_link_uri": "</t>
  </si>
  <si>
    <t xml:space="preserve">                    {
                        "text": "DemoData.com",
                        "placement": "course_navigation",
                        "message_type": "GENINTEGRATIONResourceLinkRequest",
                        "windowTarget": "_blank",
                        "target_link_uri": "</t>
  </si>
  <si>
    <t xml:space="preserve">      &lt;GENINTEGRATIONcm:property name="privacy_level"&gt;public&lt;/GENINTEGRATIONcm:property&gt;
      &lt;GENINTEGRATIONcm:property name="domain"&gt;api.DemoData3.com&lt;/GENINTEGRATIONcm:property&gt;
      &lt;GENINTEGRATIONcm:options name="course_navigation"&gt;</t>
  </si>
  <si>
    <t xml:space="preserve">                     {
                        "text": "DemoData.com",
                        "placement": "global_navigation",
                        "display_type": "full_width",
                        "message_type": "GENINTEGRATIONResourceLinkRequest",
                        "windowTarget": "_blank",
                        "target_link_uri": "</t>
  </si>
  <si>
    <t xml:space="preserve"> &lt;/GENINTEGRATIONcm:options&gt;
    &lt;/bGENINTEGRATION:extensions&gt;
    &lt;cartridge_bundle identifierref="BGENINTEGRATION001_Bundle"/&gt;
    &lt;cartridge_icon identifierref="BGENINTEGRATION001_Icon"/&gt;
&lt;/cartridge_demodata9_link&gt;  </t>
  </si>
  <si>
    <t xml:space="preserve">                    {
                        "text": "DemoData.com",
                        "placement": "account_navigation",
                        "display_type": "full_width",
                        "message_type": "GENINTEGRATIONResourceLinkRequest",
                        "windowTarget": "_blank",
                        "target_link_uri": "</t>
  </si>
  <si>
    <t xml:space="preserve">If you need more information than this or else would like me to walk through this with you, let me know and we’ll coordinate.  I’ve also included a helpful link on GENINTEGRATION integration with LM7 if you would like to review it – please </t>
  </si>
  <si>
    <t>MARKET2 are the parameters (including the GENINTEGRATION DemoData27, DemoData72, and Tool URL for your school’s customized DemoData.com program) that you'll need to setup access to DemoData.com as an External Tool/Activity in LMS6.  Please let me know when you’ve been able to test-launch it.   
I’ll need to look at our logs and make sure that we map the right fields for course and user IDs. For additional information on how to install DemoData.com as an GENINTEGRATION tool in LMS6, you can reference the MARKET2 DemoData727e.
Once you’ve been able to test-launch this tool, please let me know so that I can check the GENINTEGRATION data and map user and course IDs according to your preferences.  
I look forward to working with you all!
Thank you,</t>
  </si>
  <si>
    <t xml:space="preserve">Once installed, please complete a couple of test student/teacher launches from a single course so that we can determine if we’ll need to remap different elements of the GENINTEGRATION payload. When the transactions are in, we’ll consult with you to make sure that we’re capturing and mapping the user and course IDs most usable for reporting purposes. </t>
  </si>
  <si>
    <t xml:space="preserve">Once you’ve been able to install and test-launch this, can you let us know so that I can look at our logs and then confer with you about what we’ll use in the GENINTEGRATION payload as the identifiers for students and school?  </t>
  </si>
  <si>
    <t>Azure (GENINTEGRATION)</t>
  </si>
  <si>
    <t>Custom_GENINTEGRATION</t>
  </si>
  <si>
    <t xml:space="preserve">Once we’ve obtained your certificate, below is what you’ll need to setup our GENINTEGRATION service app in GSuite.  When you have the chance to set this up and do a test launch, please let me know and I’ll check our logs to make sure the right fields are coming across to us.  We’ll want to make sure a unique school identifier is coming across for reporting. </t>
  </si>
  <si>
    <t xml:space="preserve"> is the Identify Provider (IdP) and DemoData.com is the Service Provider (SP). 
Once we’ve obtained your certificate, below is what you’ll need to setup our GENINTEGRATION app.  When you have the chance to set this up and do a test launch, please let me know and I’ll check our transactions to make sure the right data fields are coming across to us.  
MARKET2, please find: 
     •  Icon for DemoData.com app (Note:  Recommend naming the new app DemoDataDotCom)  
     •  GENINTEGRATION Integration Workflow
     •  Service Provider Details (text file attachment)
Please Let me know if you have any questions.
Thank you,</t>
  </si>
  <si>
    <t>LMS4/GENINTEGRATION Integration + LMS3 Rostering</t>
  </si>
  <si>
    <t>LMS4/GENINTEGRATION Integration + LMS3 Rostering + PROD7</t>
  </si>
  <si>
    <t>LMS4/GENINTEGRATION Integration + LMS3 Rostering + PROD7 + PRODUCT2</t>
  </si>
  <si>
    <t>JLB Contract</t>
  </si>
  <si>
    <t>GENINTEGRATION 31 ClPRODUCT4 ms</t>
  </si>
  <si>
    <t>LM7 31 ClPRODUCT4 ms</t>
  </si>
  <si>
    <t>LMS1 31 ClPRODUCT4 ms</t>
  </si>
  <si>
    <t>LMS8 31 Matching</t>
  </si>
  <si>
    <t>LMS8 31 ClPRODUCT4 ms</t>
  </si>
  <si>
    <t>LMS6 31 Matching</t>
  </si>
  <si>
    <t>LMS6 31 ClPRODUCT4 ms</t>
  </si>
  <si>
    <t>LMS2 31 Matching</t>
  </si>
  <si>
    <t>LMS2 31 ClPRODUCT4 ms</t>
  </si>
  <si>
    <t>LMS5 31 Matching</t>
  </si>
  <si>
    <t>LMS5 31 ClPRODUCT4 ms</t>
  </si>
  <si>
    <t>Common Custom Parameters for GENINTEGRATION 31</t>
  </si>
  <si>
    <t>Not Supported in GENINTEGRATION 31</t>
  </si>
  <si>
    <t>LM7 - GENINTEGRATION 31</t>
  </si>
  <si>
    <t>GENINTEGRATION 31 Handler</t>
  </si>
  <si>
    <t>GENINTEGRATION 31 Issuer</t>
  </si>
  <si>
    <t>GENINTEGRATION 31 Response</t>
  </si>
  <si>
    <t>LMS8 - GENINTEGRATION 31</t>
  </si>
  <si>
    <t>LMS1 - GENINTEGRATION 31 Link &amp; Course NAV</t>
  </si>
  <si>
    <t>LMS1 - GENINTEGRATION 31 - All Types of Placement</t>
  </si>
  <si>
    <t>LMS2 - GENINTEGRATION 31</t>
  </si>
  <si>
    <t>LMS2 GENINTEGRATION 31 is not yet ready for integration</t>
  </si>
  <si>
    <t>GENINTEGRATION 31 Migration</t>
  </si>
  <si>
    <t>LMS5 - GENINTEGRATION 31</t>
  </si>
  <si>
    <t>LMS6 - GENINTEGRATION 31</t>
  </si>
  <si>
    <t>ScMARKET2ule JLB/Calendar Reminder for GENINTEGRATION 31 Migration Follow Up</t>
  </si>
  <si>
    <t>{
    "title": "DemoData.com GENINTEGRATION 31",
    "scopes": [],
    "extensions": [
        {
            "platform": "</t>
  </si>
  <si>
    <t xml:space="preserve">
                          ]
            },
            "privacy_level": "public"
        }
    ],
    "public_jwk": {
        "e": "AQAB",
        "n": "r1TzaUsgF6OhsT_6Q12z9s3loqC5iRd89M3ZLh1TOsOxxecIZXbqnSYOaCM4Nf37sUKJoOor3a-lLjTGndL8xpGV1t6X6quNlU9emRTtu5I9umxxBC9PInWTWTKJyO5G1GSDAovPK4nHBcQ-sqI59Ama0pRf0SGfZOhhqq_dqkK0x3dMYMPCu1YYmtz-HoNbuiQyqpDTgKYZkbsfSn4CapGBc9xoqQtoAyRJQd34KrFXj-RBNSITL5lNxAUvplc6_y5RXCTmmEQs4-v7-npFJkZTxhbE_WG5gtG8JwrbZKqGSioYQXnlp-mF5EeAntDs4AaTPBwjR9XnfXN0URS9gw",
        "alg": "RS256",
        "kid": "sig-2022-03-30T15:54:06Z",
        "kty": "RSA",
        "use": "sig"
    },
    "description": "DemoData.com GENINTEGRATION 31",
    "windowTarget": "_blank",
    "custom_fields": {
        "custom_ap": "</t>
  </si>
  <si>
    <t xml:space="preserve">                ]
            },
            "privacy_level": "public"
        }
    ],
    "public_jwk": {
        "e": "AQAB",
        "n": "r1TzaUsgF6OhsT_6Q12z9s3loqC5iRd89M3ZLh1TOsOxxecIZXbqnSYOaCM4Nf37sUKJoOor3a-lLjTGndL8xpGV1t6X6quNlU9emRTtu5I9umxxBC9PInWTWTKJyO5G1GSDAovPK4nHBcQ-sqI59Ama0pRf0SGfZOhhqq_dqkK0x3dMYMPCu1YYmtz-HoNbuiQyqpDTgKYZkbsfSn4CapGBc9xoqQtoAyRJQd34KrFXj-RBNSITL5lNxAUvplc6_y5RXCTmmEQs4-v7-npFJkZTxhbE_WG5gtG8JwrbZKqGSioYQXnlp-mF5EeAntDs4AaTPBwjR9XnfXN0URS9gw",
        "alg": "RS256",
        "kid": "sig-2022-03-30T15:54:06Z",
        "kty": "RSA",
        "use": "sig"
    },
    "description": "DemoData.com GENINTEGRATION 31",
    "windowTarget": "_blank",
    "custom_fields": {
        "custom_ap": "</t>
  </si>
  <si>
    <t>LMS1 - GENINTEGRATION 31  - DemoData27 &amp; DemoData72 Text Grab</t>
  </si>
  <si>
    <t xml:space="preserve">LM7 GENINTEGRATION 31 DemoData27 &amp; DemoData72 Text Grab </t>
  </si>
  <si>
    <t>GENINTEGRATION 22 Parameters</t>
  </si>
  <si>
    <t>Common Custom Parameters for GENINTEGRATION 22</t>
  </si>
  <si>
    <t>LM7 - GENINTEGRATION 22</t>
  </si>
  <si>
    <t>GENINTEGRATION 22 Handler</t>
  </si>
  <si>
    <t>GENINTEGRATION 22 Response</t>
  </si>
  <si>
    <t>LMS9 / LMS8 - GENINTEGRATION 22</t>
  </si>
  <si>
    <t>LMS12 GENINTEGRATION 22</t>
  </si>
  <si>
    <t>LMS1 - GENINTEGRATION 22 (Enabled)</t>
  </si>
  <si>
    <t>LMS1 - GENINTEGRATION 22 (Disabled)</t>
  </si>
  <si>
    <t>LMS2 - GENINTEGRATION 22</t>
  </si>
  <si>
    <t>LMS6 - GENINTEGRATION 22</t>
  </si>
  <si>
    <t xml:space="preserve">Good Morning,
Thank you, in advance, for your efforts helping us to integrate DemoData.com as an GENINTEGRATION 22 tool link into your LM7 learning management system.
Below are the parameters (including the GENINTEGRATION DemoData27, DemoData72, and Launch URL for your school’s customized DemoData.com program) that you'll need to setup access to DemoData.com as an GENINTEGRATION external tool in LM7 courses.   </t>
  </si>
  <si>
    <t>custom_LMS1_user_LI_id</t>
  </si>
  <si>
    <t>DemoData27 &amp; DemoData72 Text Grab / LL / Client AP LIs</t>
  </si>
  <si>
    <t>LATEST LI</t>
  </si>
  <si>
    <t>to learn how to add, deactivate, and reactivate accounts using the bulk uploader. Please Note: The bulk uploader can only be used to set the initial PW for a user; PW changes cannot be made with the bulk uploader. 
Next steps: 
•	I’ve included a logo; please review the screenshot below. If you would like to update the logo, please share a 310x90 image of your logo and I will update the program. 
•	You may customize both a welcome message and an info message for your students / users; helpful information includes whom to contact if they have account issues or questions. Please note: We are unable to post PWs, or PW hints / formats in the welcome or info messages since they are both on public-facing sites.
***Include Screenshot of client LI w/logo space identified HERE***
Please let me know if you have any questions along the way.
Thank you,</t>
  </si>
  <si>
    <t>Client JLB Rostering / PROD7 / PRODUCT2 PRODCUT4 - Initial Contact</t>
  </si>
  <si>
    <t>Rostering / PROD7 / PRODUCT2</t>
  </si>
  <si>
    <t>PROD187:</t>
  </si>
  <si>
    <t>Link to CRM  Opportunity:</t>
  </si>
  <si>
    <t>CRM  Note &amp; Tags (Copy and Paste into CRM &amp; Activate Tags)</t>
  </si>
  <si>
    <t>CRM  Comment</t>
  </si>
  <si>
    <t>Customer Success Manager</t>
  </si>
  <si>
    <t>Sales Representative</t>
  </si>
  <si>
    <t xml:space="preserve">Choosing a primary contact will populate their information on the LK Frontloader Tab </t>
  </si>
  <si>
    <t>Program LK Link:</t>
  </si>
  <si>
    <t xml:space="preserve">        "OA_consumer_DemoData27": "</t>
  </si>
  <si>
    <t>JLB AM. &amp; Access Links</t>
  </si>
  <si>
    <t>Link to Client AM</t>
  </si>
  <si>
    <t xml:space="preserve">PLEASE NOTE: Prior to the Implementation team inputting the metadata that you send into our system; this is what you will see in your LMS4 AM view: </t>
  </si>
  <si>
    <t>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t>
  </si>
  <si>
    <t>AM LI</t>
  </si>
  <si>
    <t>LM7 OIDC OA Request EP (=DemoData3 ALU)</t>
  </si>
  <si>
    <t>EP / Deployment ID Header</t>
  </si>
  <si>
    <t>EP / Deployment ID Response</t>
  </si>
  <si>
    <t>LATEST EP</t>
  </si>
  <si>
    <t>ALU (=LMS7OIDC OA Request EP)</t>
  </si>
  <si>
    <t>Good Morning,
We’ve created your DemoData.com site and the GENINTEGRATION EP so that you can make our service available in your LMS8 courses.
MARKET2 are the parameters that you’d need to accomplish this. I’ve also MARKET2 some simple screenshots to help walk you through the integration as well as the GENINTEGRATION AM documents from LMS9.</t>
  </si>
  <si>
    <t>UAU AM Username</t>
  </si>
  <si>
    <t xml:space="preserve"> DemoData information about services.</t>
  </si>
  <si>
    <t xml:space="preserve">Good Morning,
Client specific Demodata information. 
</t>
  </si>
  <si>
    <t>Demodata89</t>
  </si>
  <si>
    <t>Process</t>
  </si>
  <si>
    <t>JLB</t>
  </si>
  <si>
    <t>Regarding the DEMODATA:
•	CLIENT specific demodata.
If you have any questions, please contact me.
Thank you,</t>
  </si>
  <si>
    <t>w.barnes@demodata.com</t>
  </si>
  <si>
    <t>m.chen@demodata.com</t>
  </si>
  <si>
    <t>t.navarro@demodata.com</t>
  </si>
  <si>
    <t>Barnes,William; Chen, Maya; Navarro,Theo; Reed,Noaln;</t>
  </si>
  <si>
    <t>n.reed@demodata.com</t>
  </si>
  <si>
    <t>1:00 PM EST</t>
  </si>
  <si>
    <t>https://www.linkedin.com/in/jo-ann-balsamo/</t>
  </si>
  <si>
    <t xml:space="preserve"> CSM Type1</t>
  </si>
  <si>
    <t>Client JLB Integration Type1</t>
  </si>
  <si>
    <t>Integration Type1 Verbiage</t>
  </si>
  <si>
    <t>Type1 Template Link</t>
  </si>
  <si>
    <t>Client Preferences Type1</t>
  </si>
  <si>
    <t>Link to Type1 Template</t>
  </si>
  <si>
    <t>Type1 Template Concat</t>
  </si>
  <si>
    <t>Link to GENINTEGRATION  Integration Type1</t>
  </si>
  <si>
    <t>Link to LM7 Integration Type1 Template</t>
  </si>
  <si>
    <t>Link to LM7 31 Integration Type1 Template</t>
  </si>
  <si>
    <t>Link to LM7 GENINTEGRATION 31 Migration Type1 Template</t>
  </si>
  <si>
    <t>Type1</t>
  </si>
  <si>
    <t>Link to LMS9 / LMS8 Integration Type1</t>
  </si>
  <si>
    <t>Link to LMS9 / LMS8 31 Integration Type1</t>
  </si>
  <si>
    <t>Link to Brightpsace / LMS8 31 Migration Type1 Template</t>
  </si>
  <si>
    <t>Link to LMS12 GENINTEGRATION 22 Integration Type1 Template</t>
  </si>
  <si>
    <t>Link to LMS1 GENINTEGRATION 22 Integration Type1 Template</t>
  </si>
  <si>
    <t>Link to LMS1 GENINTEGRATION 31 Course Placement Integration Type1</t>
  </si>
  <si>
    <t>Link to LMS1 GENINTEGRATION 31 Migration Type1 Template</t>
  </si>
  <si>
    <t>Link to LMS1 GENINTEGRATION 31 All Placements Integration Type1</t>
  </si>
  <si>
    <t>Link to LMS2 GENINTEGRATION 22 Integration Type1 Template</t>
  </si>
  <si>
    <t>Link to LMS2 GENINTEGRATION 31 Integration Type1 Template</t>
  </si>
  <si>
    <t>Link to LMS3  Integration Type1</t>
  </si>
  <si>
    <t>Link to LMS4 Integration Type1</t>
  </si>
  <si>
    <t>Link to LMS5 31 Integration Type1</t>
  </si>
  <si>
    <t>Link to LMS5 31 Migration Type1 Template</t>
  </si>
  <si>
    <t>Link to LMS6 GENINTEGRATION 22   Integration Type1</t>
  </si>
  <si>
    <t>Link to LMS6 31  Integration Type1</t>
  </si>
  <si>
    <t>Link to LMS6 GENINTEGRATION 31 Migration Type1 Template</t>
  </si>
  <si>
    <t>Link to LMS11 Integration Type1</t>
  </si>
  <si>
    <t>10 Type1s List from IM, CSM, Sales &amp; Kickoff Tab</t>
  </si>
  <si>
    <t>Icon URL:  https://www.linkedin.com/in/jo-ann-balsamo
Secure Icon URL:  https://www.linkedin.com/in/jo-ann-balsamo
Share launcher's name with the tool:  Checked
Share launcher's Type1 with the tool:  Checked
Accept grades from the tool:  Unchecked</t>
  </si>
  <si>
    <t>•             Start URL:  Leave Blank
•             Signed Response:  Checked
•             Name ID:  Basic Information, Primary Type1
•             Name ID Format:  Type1 (typically but uGENINTEGRATIONmately your choice as to this format)</t>
  </si>
  <si>
    <t>•             Primary Type1 -&gt; Type1
•             First Name -&gt; FirstName
•             Last Name -&gt; LastName
•             Department -&gt; custom_ap</t>
  </si>
  <si>
    <t>LMS1 - CSM Type1</t>
  </si>
  <si>
    <t>LM7 CSM Type1</t>
  </si>
  <si>
    <t>LMS9 / LMS8 CSM Type1</t>
  </si>
  <si>
    <t>LMS4 CSM Type1</t>
  </si>
  <si>
    <t>LMS10 CSM Type1</t>
  </si>
  <si>
    <t>LMS3 CSM Type1</t>
  </si>
  <si>
    <t>LMS6 CSM Type1</t>
  </si>
  <si>
    <t>LMS11 CSM Type1</t>
  </si>
  <si>
    <t>LMS12 - CSM Type1</t>
  </si>
  <si>
    <t>LMS2 - CSM Type1</t>
  </si>
  <si>
    <t>LMS1 - GENINTEGRATION 31  - CSM Type1</t>
  </si>
  <si>
    <t>LM7 GENINTEGRATION 31 CSM Type1</t>
  </si>
  <si>
    <t>LMS5 CSM Type1</t>
  </si>
  <si>
    <t>LMS1 - Client JLB Integration Type1</t>
  </si>
  <si>
    <t>LMS1 - - Client JLB Integration Type1</t>
  </si>
  <si>
    <t>LM7- - Client JLB Integration Type1</t>
  </si>
  <si>
    <t>LMS9 / LMS8 - - Client JLB Integration Type1</t>
  </si>
  <si>
    <t>LMS4 -- Client JLB Integration Type1</t>
  </si>
  <si>
    <t>LMS10 -- Client JLB Integration Type1</t>
  </si>
  <si>
    <t>LMS3 -- Client JLB Integration Type1</t>
  </si>
  <si>
    <t>LMS6 -- Client JLB Integration Type1</t>
  </si>
  <si>
    <t>LMS11 -- Client JLB Integration Type1</t>
  </si>
  <si>
    <t>LMS1 - GENINTEGRATION 31   - Client JLB Integration Type1</t>
  </si>
  <si>
    <t>LM7 GENINTEGRATION 31 - Client JLB Integration Type1</t>
  </si>
  <si>
    <t>LMS5 - - Client JLB Integration Type1</t>
  </si>
  <si>
    <t>Good Morning,
It was great to meet everybody on the call today!  This Type1 contains the information you will need to connect with DemoData.com through a GENINTEGRATION integration. 
To configure your DemoData.com site, we’ll first need a copy of your X.yxyz certificate or your metadata.  Please send that at your earliest convenience so that we can attach it to your custom DemoData.com site for students to access through the GENINTEGRATION integration. The GENINTEGRATION connection would be an Identify Provider-Initiated SSO, where</t>
  </si>
  <si>
    <t>In order to complete the configuration on our end, we will need 5 pieces of information from your set up:
1.	The CID - Detailed in Step 1 on Page 4 of the MARKET2 Client DemoData727e 
2.	LMS9 DemoData27set URL  - Detailed in Step 1 on Page 4 of the MARKET2 Client DemoData727e
3.	OpenID Connect OA EP - Detailed in Step 1 on Page 4 of the MARKET2 Client DemoData727e
4.	Issuer - Detailed in Step 1 on Page 4 of the MARKET2 Client DemoData727e 
5.	Deployment ID - Detailed in Step 2-7 on Page 7 of the MARKET2 Client DemoData727e
You can use the table below in a reply Type1 to send me all 5 pieces of data; I will respond to let you know the configuration has been completed and it is okay to proceed with testing.</t>
  </si>
  <si>
    <t>In order to complete the configuration on our end, we will need 5 pieces of information from your set up:
1.	LMS5 CID - Detailed in Step 1 on Page 4 of the MARKET2 Client DemoData727e 
2.	LMS5 Issuer - Detailed in Step 1 on Page 4 of the MARKET2 Client DemoData727e
3.	LMS5 Public DemoData27set URL  - Detailed in Step 1 on Page 4 of the MARKET2 Client DemoData727e
4.	LMS5 OpenID Connect OA EP - Detailed in Step 1 on Page 4 of the MARKET2 Client DemoData727e
5.	Deployment ID - Detailed in Step 2-7 on Page 7 of the MARKET2 Client DemoData727e
You can use the table below in a reply Type1 to send me all 5 pieces of data; I will respond to let you know the configuration has been completed and it is okay to proceed with testing.</t>
  </si>
  <si>
    <t xml:space="preserve"> In the MARKET2 DemoData727e you will find the steps and parameters necessary to do so.  Once you have completed all the steps, please send me the Tool Configuration Details (see screenshot example below) that are necessary for me to finish your DemoData.com program configuration.  The best way to do this is to utilize the "Type1" button at the bottom of the pop-up (this step is detailed on page 7 of the MARKET2 DemoData727e). 
*******Insert Screenshot HERE******
Please note:  The tool will not launch until the configuration details have been added to the build.  Once received, I will update the program build and let you know to start testing.  
Once ready, please let me know when you have completed a couple of tests by launching from both student and teacher accounts in varying courses. I will review the data to verify that we have captured /mapped the user and course IDs most suitable for reporting.
If you have any questions about the configuration, please let me know.
Thank you,</t>
  </si>
  <si>
    <t xml:space="preserve">Once you have completed the necessary steps outlined in the client DemoData727e, you will need to send me the Deployment ID.  Detailed information about this step can be found on pages 1-2 of the MARKET2 DemoData727e.  
You can reply to this Type1 to send me the Deployment ID; I will respond to let you know the configuration has been completed and it is okay to proceed with testing.
Please Note:  The tool will not launch until the Deployment ID has been added to the configuration.
Once ready, please let me know when you have completed a couple of tests by launching from both student and teacher accounts in varying courses. I will review the data to verify that we have captured /mapped the user and course IDs most suitable for reporting.
If you have any questions about the configuration, please let me know.
Thank you, </t>
  </si>
  <si>
    <t xml:space="preserve">    a. To run a test, simply emulate a few student accounts and click on the DemoData.com icon in the dashboard.  
 **** Insert Screenshot from LMS3 dashboard (in Type1 template)****
4.  If the test is successful, you will see the DemoData.com platform open which looks like this: 
 **** Insert Screenshot from LATEST dashboard (in Type1 template)****
5.  Please send me the name, Type1 and school location you launcMARKET2 the tests from so that I can make sure they are coming through properly on our end. 
 Additionally, we would like to place your logo to cobrand alongside DemoData.com in the Client AP for staff access.  Would this be an appropriate logo to use?  If not, please send me the appropriate logo, sized to 310x90.
****Insert Client Web LOGO here****
I am looking forward to connecting with you to get started!  Please let me know if you would like a quick Teams call to walk through any of the steps together.</t>
  </si>
  <si>
    <t>Profile Fields - to be completed on MARKET2 template spreadsheet:
a.	Username for each student; should be something unique that they can easily remember. This is what they will use to LI.  Ex: student Type1 address or Student ID Number.
b.	PW for each user; should be something easy to remember. Please Note: The bulk uploader can only be used to set the initial PW for a user; PW changes cannot be made with the bulk uploader. 
c.	School or Location Name(s) / ID(s); this will become your program access points for reporting.
d.	First Name of Student / User.
e.	Last name of Student / User. 
f.	Type1 address; can be the same as username.  
For reference, I have also included a sample of the field data below.  
****Include Screenshot of LM template HERE***
Once I receive the spreadsheet back from you, I will start the initial upload for your program. Afterwards, you will have the opportunity to work with</t>
  </si>
  <si>
    <t>Helpful notes: 
If a Resource link ID value was not specified, you can leave it as sso. 
Under User ID – you can select ‘Type1’ as the option  
For additional information on adding an app on LMS2 you can check out this</t>
  </si>
  <si>
    <t>Please Note:  Agilix/LMS12 allows individual (student) users to select their own GENINTEGRATION Privacy settings.  If a student has opted to hide their Type1/name from external GENINTEGRATION websites, they will not be able to launch the DemoData.com tool.  You can find more information about how students can en/disable this feature in this Agilix Help article:</t>
  </si>
  <si>
    <t>LMS1 - Client Preferences Type1</t>
  </si>
  <si>
    <t>LM7- Client Preferences Type1</t>
  </si>
  <si>
    <t>LMS9 / LMS8 - Client Preferences Type1</t>
  </si>
  <si>
    <t>LMS4 -- Client Preferences Type1</t>
  </si>
  <si>
    <t>LMS10 -- Client Preferences Type1</t>
  </si>
  <si>
    <t>LMS3 -- Client Preferences Type1</t>
  </si>
  <si>
    <t>LMS6 -- Client Preferences Type1</t>
  </si>
  <si>
    <t>LMS11 -- Client Preferences Type1</t>
  </si>
  <si>
    <t>LMS12 -- Client Preferences Type1</t>
  </si>
  <si>
    <t>LMS2 -- Client Preferences Type1</t>
  </si>
  <si>
    <t>LMS1 - GENINTEGRATION 31   - Client Preferences Type1</t>
  </si>
  <si>
    <t>LM7 GENINTEGRATION 31 - Client Preferences Type1</t>
  </si>
  <si>
    <t>LMS5 - Client Preferences Type1</t>
  </si>
  <si>
    <t xml:space="preserve">Please see the chart below which outlines the parameters to successfully configure the tool. 
Feel free to forward this request to your IT department and reply to this Type1 when this has been completed.  </t>
  </si>
  <si>
    <t>https://purl.demodata7.org/spec/GENINTEGRATION/clPRODUCT4 m/lis|person_Type2</t>
  </si>
  <si>
    <t>lis_course_offering_Type2</t>
  </si>
  <si>
    <t>https://purl.demodata7.org/spec/GENINTEGRATION/clPRODUCT4 m/lis|course_offering_Type2</t>
  </si>
  <si>
    <t>lis_course_section_Type2</t>
  </si>
  <si>
    <t>https://purl.demodata7.org/spec/GENINTEGRATION/clPRODUCT4 m/lis|course_section_Type2</t>
  </si>
  <si>
    <t>lis_person_Type2</t>
  </si>
  <si>
    <t>Type2</t>
  </si>
  <si>
    <t xml:space="preserve">Additionally, you’ll need to pass us the school name as a custom “Input Field.”  You can call it “site.”  The actual source field varies greatly from district to district.  
1.        The name of the custom field would be “Site” 
2.        The value would be e.g. {%orgType2%} – This would be the field in your LMS2 that indicates the site or building ID number. </t>
  </si>
  <si>
    <t>JLB Integration DEMO</t>
  </si>
  <si>
    <t>DEMO</t>
  </si>
  <si>
    <t>Alabama (AL)</t>
  </si>
  <si>
    <t>NONCE-nonce-NONCE2-nonce3-nonce</t>
  </si>
  <si>
    <t>Nonce7</t>
  </si>
  <si>
    <t>Nocne8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</si>
</sst>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409]h:mm\ AM/PM;@"/>
    <numFmt numFmtId="165" formatCode="&quot;$&quot;#,##0.00"/>
    <numFmt numFmtId="166" formatCode="00000"/>
  </numFmts>
  <fonts count="110" x14ac:knownFonts="1">
    <font>
      <sz val="11"/>
      <color theme="1"/>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sz val="11"/>
      <color theme="0"/>
      <name val="Calibri"/>
      <family val="2"/>
      <scheme val="minor"/>
    </font>
    <font>
      <sz val="9"/>
      <color theme="1"/>
      <name val="Calibri"/>
      <family val="2"/>
      <scheme val="minor"/>
    </font>
    <font>
      <b/>
      <sz val="9"/>
      <color theme="0"/>
      <name val="Calibri"/>
      <family val="2"/>
      <scheme val="minor"/>
    </font>
    <font>
      <u/>
      <sz val="8"/>
      <color theme="10"/>
      <name val="Calibri"/>
      <family val="2"/>
      <scheme val="minor"/>
    </font>
    <font>
      <b/>
      <sz val="8"/>
      <color theme="0"/>
      <name val="Calibri"/>
      <family val="2"/>
      <scheme val="minor"/>
    </font>
    <font>
      <sz val="8"/>
      <color theme="1"/>
      <name val="Calibri"/>
      <family val="2"/>
      <scheme val="minor"/>
    </font>
    <font>
      <b/>
      <sz val="12"/>
      <color theme="0"/>
      <name val="Calibri"/>
      <family val="2"/>
      <scheme val="minor"/>
    </font>
    <font>
      <b/>
      <u/>
      <sz val="11"/>
      <color theme="0"/>
      <name val="Calibri"/>
      <family val="2"/>
      <scheme val="minor"/>
    </font>
    <font>
      <b/>
      <sz val="10"/>
      <color rgb="FFFF0000"/>
      <name val="Calibri"/>
      <family val="2"/>
      <scheme val="minor"/>
    </font>
    <font>
      <b/>
      <sz val="12"/>
      <name val="Calibri"/>
      <family val="2"/>
      <scheme val="minor"/>
    </font>
    <font>
      <sz val="11"/>
      <color theme="10"/>
      <name val="Calibri"/>
      <family val="2"/>
      <scheme val="minor"/>
    </font>
    <font>
      <sz val="9"/>
      <color theme="0"/>
      <name val="Calibri"/>
      <family val="2"/>
      <scheme val="minor"/>
    </font>
    <font>
      <sz val="11"/>
      <name val="Calibri"/>
      <family val="2"/>
      <scheme val="minor"/>
    </font>
    <font>
      <sz val="10"/>
      <color theme="1"/>
      <name val="Calibri"/>
      <family val="2"/>
      <scheme val="minor"/>
    </font>
    <font>
      <b/>
      <i/>
      <sz val="10"/>
      <color theme="0"/>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b/>
      <i/>
      <sz val="11"/>
      <color theme="1"/>
      <name val="Calibri"/>
      <family val="2"/>
      <scheme val="minor"/>
    </font>
    <font>
      <u/>
      <sz val="11"/>
      <color theme="0"/>
      <name val="Calibri"/>
      <family val="2"/>
      <scheme val="minor"/>
    </font>
    <font>
      <b/>
      <sz val="8"/>
      <color rgb="FFFF0000"/>
      <name val="Calibri"/>
      <family val="2"/>
      <scheme val="minor"/>
    </font>
    <font>
      <b/>
      <sz val="11"/>
      <name val="Calibri"/>
      <family val="2"/>
      <scheme val="minor"/>
    </font>
    <font>
      <b/>
      <u/>
      <sz val="14"/>
      <color theme="10"/>
      <name val="Calibri"/>
      <family val="2"/>
      <scheme val="minor"/>
    </font>
    <font>
      <b/>
      <sz val="10"/>
      <color theme="0"/>
      <name val="Calibri"/>
      <family val="2"/>
      <scheme val="minor"/>
    </font>
    <font>
      <u/>
      <sz val="10"/>
      <color theme="0"/>
      <name val="Calibri"/>
      <family val="2"/>
      <scheme val="minor"/>
    </font>
    <font>
      <b/>
      <u/>
      <sz val="12"/>
      <color theme="0"/>
      <name val="Calibri"/>
      <family val="2"/>
      <scheme val="minor"/>
    </font>
    <font>
      <b/>
      <sz val="18"/>
      <color theme="0"/>
      <name val="Calibri"/>
      <family val="2"/>
      <scheme val="minor"/>
    </font>
    <font>
      <sz val="18"/>
      <color theme="1"/>
      <name val="Calibri"/>
      <family val="2"/>
      <scheme val="minor"/>
    </font>
    <font>
      <i/>
      <sz val="10"/>
      <color theme="1"/>
      <name val="Calibri"/>
      <family val="2"/>
      <scheme val="minor"/>
    </font>
    <font>
      <i/>
      <sz val="10"/>
      <color theme="0"/>
      <name val="Calibri"/>
      <family val="2"/>
      <scheme val="minor"/>
    </font>
    <font>
      <b/>
      <sz val="20"/>
      <color theme="0"/>
      <name val="Calibri"/>
      <family val="2"/>
      <scheme val="minor"/>
    </font>
    <font>
      <sz val="18"/>
      <color theme="0"/>
      <name val="Calibri"/>
      <family val="2"/>
      <scheme val="minor"/>
    </font>
    <font>
      <b/>
      <sz val="20"/>
      <color theme="1"/>
      <name val="Calibri"/>
      <family val="2"/>
      <scheme val="minor"/>
    </font>
    <font>
      <sz val="18"/>
      <name val="Calibri"/>
      <family val="2"/>
      <scheme val="minor"/>
    </font>
    <font>
      <i/>
      <sz val="10"/>
      <name val="Calibri"/>
      <family val="2"/>
      <scheme val="minor"/>
    </font>
    <font>
      <b/>
      <sz val="9"/>
      <color rgb="FFFF0000"/>
      <name val="Calibri"/>
      <family val="2"/>
      <scheme val="minor"/>
    </font>
    <font>
      <sz val="11"/>
      <color theme="1"/>
      <name val="Calibri"/>
      <family val="2"/>
      <scheme val="minor"/>
    </font>
    <font>
      <sz val="8"/>
      <color theme="0"/>
      <name val="Calibri"/>
      <family val="2"/>
      <scheme val="minor"/>
    </font>
    <font>
      <b/>
      <sz val="9"/>
      <name val="Calibri"/>
      <family val="2"/>
      <scheme val="minor"/>
    </font>
    <font>
      <b/>
      <u/>
      <sz val="9"/>
      <color theme="0"/>
      <name val="Calibri"/>
      <family val="2"/>
      <scheme val="minor"/>
    </font>
    <font>
      <sz val="10"/>
      <name val="Calibri"/>
      <family val="2"/>
      <scheme val="minor"/>
    </font>
    <font>
      <u/>
      <sz val="11"/>
      <name val="Calibri"/>
      <family val="2"/>
      <scheme val="minor"/>
    </font>
    <font>
      <sz val="9"/>
      <name val="Calibri"/>
      <family val="2"/>
      <scheme val="minor"/>
    </font>
    <font>
      <b/>
      <sz val="13"/>
      <color theme="0"/>
      <name val="Calibri"/>
      <family val="2"/>
      <scheme val="minor"/>
    </font>
    <font>
      <b/>
      <u/>
      <sz val="13"/>
      <color theme="0"/>
      <name val="Calibri"/>
      <family val="2"/>
      <scheme val="minor"/>
    </font>
    <font>
      <b/>
      <sz val="10"/>
      <name val="Calibri"/>
      <family val="2"/>
      <scheme val="minor"/>
    </font>
    <font>
      <b/>
      <sz val="10"/>
      <color theme="1"/>
      <name val="Calibri"/>
      <family val="2"/>
      <scheme val="minor"/>
    </font>
    <font>
      <b/>
      <sz val="14"/>
      <color theme="0"/>
      <name val="Calibri"/>
      <family val="2"/>
      <scheme val="minor"/>
    </font>
    <font>
      <b/>
      <u/>
      <sz val="9"/>
      <color theme="4" tint="-0.499984740745262"/>
      <name val="Calibri"/>
      <family val="2"/>
      <scheme val="minor"/>
    </font>
    <font>
      <sz val="10"/>
      <color rgb="FFFF0000"/>
      <name val="Calibri"/>
      <family val="2"/>
      <scheme val="minor"/>
    </font>
    <font>
      <b/>
      <sz val="12"/>
      <color rgb="FFFF0000"/>
      <name val="Calibri"/>
      <family val="2"/>
      <scheme val="minor"/>
    </font>
    <font>
      <b/>
      <sz val="11"/>
      <color theme="4" tint="-0.499984740745262"/>
      <name val="Calibri"/>
      <family val="2"/>
      <scheme val="minor"/>
    </font>
    <font>
      <b/>
      <i/>
      <sz val="11"/>
      <color theme="0"/>
      <name val="Calibri"/>
      <family val="2"/>
      <scheme val="minor"/>
    </font>
    <font>
      <b/>
      <sz val="8"/>
      <color theme="1"/>
      <name val="Calibri"/>
      <family val="2"/>
      <scheme val="minor"/>
    </font>
    <font>
      <b/>
      <sz val="9"/>
      <color theme="1"/>
      <name val="Calibri"/>
      <family val="2"/>
      <scheme val="minor"/>
    </font>
    <font>
      <b/>
      <sz val="20"/>
      <name val="Calibri"/>
      <family val="2"/>
      <scheme val="minor"/>
    </font>
    <font>
      <sz val="11"/>
      <color rgb="FF0563C1"/>
      <name val="Calibri"/>
      <family val="2"/>
      <scheme val="minor"/>
    </font>
    <font>
      <sz val="10"/>
      <color theme="0"/>
      <name val="Calibri"/>
      <family val="2"/>
      <scheme val="minor"/>
    </font>
    <font>
      <b/>
      <sz val="12"/>
      <color theme="0"/>
      <name val="Calibri"/>
      <family val="2"/>
    </font>
    <font>
      <b/>
      <sz val="11"/>
      <color theme="8" tint="-0.249977111117893"/>
      <name val="Calibri"/>
      <family val="2"/>
      <scheme val="minor"/>
    </font>
    <font>
      <sz val="10"/>
      <color theme="0" tint="-0.34998626667073579"/>
      <name val="Calibri"/>
      <family val="2"/>
      <scheme val="minor"/>
    </font>
    <font>
      <sz val="8"/>
      <name val="Calibri"/>
      <family val="2"/>
      <scheme val="minor"/>
    </font>
    <font>
      <u/>
      <sz val="11"/>
      <color rgb="FF0563C1"/>
      <name val="Calibri"/>
      <family val="2"/>
      <scheme val="minor"/>
    </font>
    <font>
      <b/>
      <i/>
      <sz val="8"/>
      <color theme="0"/>
      <name val="Calibri"/>
      <family val="2"/>
      <scheme val="minor"/>
    </font>
    <font>
      <b/>
      <u/>
      <sz val="9"/>
      <color rgb="FF0563C1"/>
      <name val="Calibri"/>
      <family val="2"/>
      <scheme val="minor"/>
    </font>
    <font>
      <b/>
      <u/>
      <sz val="12"/>
      <color rgb="FF0563C1"/>
      <name val="Calibri"/>
      <family val="2"/>
      <scheme val="minor"/>
    </font>
    <font>
      <b/>
      <sz val="8"/>
      <name val="Calibri"/>
      <family val="2"/>
      <scheme val="minor"/>
    </font>
    <font>
      <i/>
      <sz val="8"/>
      <color theme="0"/>
      <name val="Calibri"/>
      <family val="2"/>
      <scheme val="minor"/>
    </font>
    <font>
      <sz val="9"/>
      <color theme="4" tint="-0.249977111117893"/>
      <name val="Calibri"/>
      <family val="2"/>
      <scheme val="minor"/>
    </font>
    <font>
      <u/>
      <sz val="9"/>
      <color rgb="FF0563C1"/>
      <name val="Calibri"/>
      <family val="2"/>
      <scheme val="minor"/>
    </font>
    <font>
      <b/>
      <sz val="8"/>
      <color rgb="FF0563C1"/>
      <name val="Calibri"/>
      <family val="2"/>
      <scheme val="minor"/>
    </font>
    <font>
      <sz val="11"/>
      <color theme="0" tint="-0.14999847407452621"/>
      <name val="Calibri"/>
      <family val="2"/>
      <scheme val="minor"/>
    </font>
    <font>
      <sz val="11"/>
      <color theme="5"/>
      <name val="Calibri"/>
      <family val="2"/>
      <scheme val="minor"/>
    </font>
    <font>
      <b/>
      <sz val="12"/>
      <color theme="0" tint="-0.14999847407452621"/>
      <name val="Calibri"/>
      <family val="2"/>
      <scheme val="minor"/>
    </font>
    <font>
      <sz val="8"/>
      <color rgb="FF0070C0"/>
      <name val="Calibri"/>
      <family val="2"/>
      <scheme val="minor"/>
    </font>
    <font>
      <u/>
      <sz val="11"/>
      <color theme="1"/>
      <name val="Calibri"/>
      <family val="2"/>
      <scheme val="minor"/>
    </font>
    <font>
      <sz val="7"/>
      <color theme="0"/>
      <name val="Calibri"/>
      <family val="2"/>
      <scheme val="minor"/>
    </font>
    <font>
      <u/>
      <sz val="9"/>
      <color theme="10"/>
      <name val="Calibri"/>
      <family val="2"/>
      <scheme val="minor"/>
    </font>
    <font>
      <u/>
      <sz val="9"/>
      <color theme="0"/>
      <name val="Calibri"/>
      <family val="2"/>
      <scheme val="minor"/>
    </font>
    <font>
      <sz val="8.5"/>
      <color theme="0"/>
      <name val="Calibri"/>
      <family val="2"/>
      <scheme val="minor"/>
    </font>
    <font>
      <b/>
      <u/>
      <sz val="8"/>
      <name val="Calibri"/>
      <family val="2"/>
      <scheme val="minor"/>
    </font>
    <font>
      <b/>
      <sz val="16"/>
      <color rgb="FFC00000"/>
      <name val="Wingdings 2"/>
      <family val="1"/>
      <charset val="2"/>
    </font>
    <font>
      <b/>
      <sz val="22"/>
      <color rgb="FFC00000"/>
      <name val="Calibri"/>
      <family val="2"/>
      <scheme val="minor"/>
    </font>
    <font>
      <b/>
      <sz val="22"/>
      <color rgb="FFC00000"/>
      <name val="Webdings"/>
      <family val="1"/>
      <charset val="2"/>
    </font>
    <font>
      <sz val="12"/>
      <color rgb="FF333333"/>
      <name val="Arial"/>
      <family val="2"/>
    </font>
    <font>
      <i/>
      <sz val="16"/>
      <color theme="1"/>
      <name val="Aptos"/>
      <family val="2"/>
    </font>
    <font>
      <sz val="16"/>
      <color theme="1"/>
      <name val="Aptos"/>
      <family val="2"/>
    </font>
    <font>
      <sz val="12"/>
      <color rgb="FF333333"/>
      <name val="Aptos"/>
      <family val="2"/>
    </font>
    <font>
      <u/>
      <sz val="16"/>
      <color theme="10"/>
      <name val="Aptos"/>
      <family val="2"/>
    </font>
    <font>
      <i/>
      <sz val="8"/>
      <color rgb="FF0563C1"/>
      <name val="Calibri"/>
      <family val="2"/>
      <scheme val="minor"/>
    </font>
    <font>
      <b/>
      <sz val="10"/>
      <color rgb="FFC00000"/>
      <name val="Calibri"/>
      <family val="2"/>
      <scheme val="minor"/>
    </font>
    <font>
      <b/>
      <sz val="7"/>
      <color rgb="FF0563C1"/>
      <name val="Calibri"/>
      <family val="2"/>
      <scheme val="minor"/>
    </font>
    <font>
      <b/>
      <sz val="9.5"/>
      <color theme="0"/>
      <name val="Calibri"/>
      <family val="2"/>
      <scheme val="minor"/>
    </font>
    <font>
      <b/>
      <sz val="8"/>
      <color rgb="FFC00000"/>
      <name val="Calibri"/>
      <family val="2"/>
      <scheme val="minor"/>
    </font>
    <font>
      <i/>
      <sz val="8"/>
      <color rgb="FFC00000"/>
      <name val="Calibri"/>
      <family val="2"/>
      <scheme val="minor"/>
    </font>
    <font>
      <sz val="7"/>
      <color theme="1"/>
      <name val="Calibri"/>
      <family val="2"/>
      <scheme val="minor"/>
    </font>
    <font>
      <sz val="8"/>
      <color theme="4"/>
      <name val="Calibri"/>
      <family val="2"/>
      <scheme val="minor"/>
    </font>
    <font>
      <i/>
      <sz val="10"/>
      <color theme="4" tint="-0.499984740745262"/>
      <name val="Calibri"/>
      <family val="2"/>
      <scheme val="minor"/>
    </font>
    <font>
      <sz val="11"/>
      <color theme="4"/>
      <name val="Calibri"/>
      <family val="2"/>
      <scheme val="minor"/>
    </font>
    <font>
      <b/>
      <sz val="11"/>
      <color theme="0" tint="-0.14999847407452621"/>
      <name val="Calibri"/>
      <family val="2"/>
      <scheme val="minor"/>
    </font>
    <font>
      <u/>
      <sz val="11"/>
      <color theme="0" tint="-0.14999847407452621"/>
      <name val="Calibri"/>
      <family val="2"/>
      <scheme val="minor"/>
    </font>
    <font>
      <b/>
      <sz val="8"/>
      <color theme="4"/>
      <name val="Calibri"/>
      <family val="2"/>
      <scheme val="minor"/>
    </font>
    <font>
      <b/>
      <sz val="11"/>
      <color theme="4"/>
      <name val="Calibri"/>
      <family val="2"/>
      <scheme val="minor"/>
    </font>
    <font>
      <sz val="12"/>
      <color theme="4"/>
      <name val="Calibri"/>
      <family val="2"/>
      <scheme val="minor"/>
    </font>
    <font>
      <b/>
      <sz val="16"/>
      <color rgb="FFC00000"/>
      <name val="Calibri"/>
      <family val="2"/>
      <scheme val="minor"/>
    </font>
    <font>
      <u/>
      <sz val="8"/>
      <color theme="0"/>
      <name val="Calibri"/>
      <family val="2"/>
      <scheme val="minor"/>
    </font>
  </fonts>
  <fills count="45">
    <fill>
      <patternFill patternType="none"/>
    </fill>
    <fill>
      <patternFill patternType="gray125"/>
    </fill>
    <fill>
      <patternFill patternType="solid">
        <fgColor theme="4"/>
        <bgColor indexed="64"/>
      </patternFill>
    </fill>
    <fill>
      <patternFill patternType="solid">
        <fgColor theme="4" tint="-0.499984740745262"/>
        <bgColor indexed="64"/>
      </patternFill>
    </fill>
    <fill>
      <patternFill patternType="solid">
        <fgColor theme="9" tint="0.79998168889431442"/>
        <bgColor indexed="64"/>
      </patternFill>
    </fill>
    <fill>
      <patternFill patternType="solid">
        <fgColor theme="0"/>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1"/>
        <bgColor indexed="64"/>
      </patternFill>
    </fill>
    <fill>
      <patternFill patternType="solid">
        <fgColor theme="4"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8" tint="-0.49998474074526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rgb="FF00B0F0"/>
        <bgColor indexed="64"/>
      </patternFill>
    </fill>
    <fill>
      <patternFill patternType="solid">
        <fgColor rgb="FFE50BB6"/>
        <bgColor indexed="64"/>
      </patternFill>
    </fill>
    <fill>
      <patternFill patternType="solid">
        <fgColor rgb="FF00FFFF"/>
        <bgColor indexed="64"/>
      </patternFill>
    </fill>
    <fill>
      <patternFill patternType="solid">
        <fgColor rgb="FFFF5050"/>
        <bgColor indexed="64"/>
      </patternFill>
    </fill>
    <fill>
      <patternFill patternType="solid">
        <fgColor rgb="FF305598"/>
        <bgColor indexed="64"/>
      </patternFill>
    </fill>
    <fill>
      <patternFill patternType="solid">
        <fgColor theme="3" tint="0.39997558519241921"/>
        <bgColor indexed="64"/>
      </patternFill>
    </fill>
    <fill>
      <patternFill patternType="solid">
        <fgColor rgb="FFC5D3ED"/>
        <bgColor indexed="64"/>
      </patternFill>
    </fill>
    <fill>
      <patternFill patternType="solid">
        <fgColor rgb="FFCC66FF"/>
        <bgColor indexed="64"/>
      </patternFill>
    </fill>
    <fill>
      <patternFill patternType="solid">
        <fgColor theme="7" tint="-0.249977111117893"/>
        <bgColor indexed="64"/>
      </patternFill>
    </fill>
    <fill>
      <patternFill patternType="solid">
        <fgColor rgb="FF002060"/>
        <bgColor indexed="64"/>
      </patternFill>
    </fill>
    <fill>
      <patternFill patternType="solid">
        <fgColor rgb="FF334A5D"/>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rgb="FFFFFFCC"/>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FFFF99"/>
        <bgColor indexed="64"/>
      </patternFill>
    </fill>
    <fill>
      <patternFill patternType="solid">
        <fgColor rgb="FFFDD7EE"/>
        <bgColor indexed="64"/>
      </patternFill>
    </fill>
    <fill>
      <patternFill patternType="solid">
        <fgColor rgb="FF109C99"/>
        <bgColor indexed="64"/>
      </patternFill>
    </fill>
    <fill>
      <patternFill patternType="solid">
        <fgColor theme="0" tint="-4.9989318521683403E-2"/>
        <bgColor indexed="64"/>
      </patternFill>
    </fill>
    <fill>
      <patternFill patternType="solid">
        <fgColor theme="8" tint="0.59999389629810485"/>
        <bgColor indexed="64"/>
      </patternFill>
    </fill>
    <fill>
      <patternFill patternType="solid">
        <fgColor rgb="FFC00000"/>
        <bgColor indexed="64"/>
      </patternFill>
    </fill>
    <fill>
      <patternFill patternType="solid">
        <fgColor theme="7"/>
        <bgColor indexed="64"/>
      </patternFill>
    </fill>
    <fill>
      <patternFill patternType="solid">
        <fgColor theme="8" tint="-0.249977111117893"/>
        <bgColor indexed="64"/>
      </patternFill>
    </fill>
  </fills>
  <borders count="1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hair">
        <color auto="1"/>
      </right>
      <top/>
      <bottom/>
      <diagonal/>
    </border>
    <border>
      <left style="hair">
        <color auto="1"/>
      </left>
      <right style="medium">
        <color auto="1"/>
      </right>
      <top/>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medium">
        <color indexed="64"/>
      </top>
      <bottom/>
      <diagonal/>
    </border>
    <border>
      <left/>
      <right style="thin">
        <color indexed="64"/>
      </right>
      <top/>
      <bottom/>
      <diagonal/>
    </border>
    <border>
      <left style="hair">
        <color auto="1"/>
      </left>
      <right style="hair">
        <color auto="1"/>
      </right>
      <top style="thin">
        <color auto="1"/>
      </top>
      <bottom style="thin">
        <color auto="1"/>
      </bottom>
      <diagonal/>
    </border>
    <border>
      <left style="thick">
        <color auto="1"/>
      </left>
      <right style="thick">
        <color auto="1"/>
      </right>
      <top style="thin">
        <color auto="1"/>
      </top>
      <bottom style="thin">
        <color auto="1"/>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ck">
        <color auto="1"/>
      </left>
      <right style="hair">
        <color auto="1"/>
      </right>
      <top style="thin">
        <color auto="1"/>
      </top>
      <bottom style="thin">
        <color auto="1"/>
      </bottom>
      <diagonal/>
    </border>
    <border>
      <left style="hair">
        <color auto="1"/>
      </left>
      <right style="thick">
        <color auto="1"/>
      </right>
      <top style="thin">
        <color auto="1"/>
      </top>
      <bottom style="thin">
        <color auto="1"/>
      </bottom>
      <diagonal/>
    </border>
    <border>
      <left style="thick">
        <color auto="1"/>
      </left>
      <right/>
      <top style="thin">
        <color auto="1"/>
      </top>
      <bottom style="thin">
        <color auto="1"/>
      </bottom>
      <diagonal/>
    </border>
    <border>
      <left/>
      <right style="medium">
        <color indexed="64"/>
      </right>
      <top style="thin">
        <color indexed="64"/>
      </top>
      <bottom/>
      <diagonal/>
    </border>
    <border>
      <left/>
      <right/>
      <top style="thick">
        <color indexed="64"/>
      </top>
      <bottom/>
      <diagonal/>
    </border>
    <border>
      <left/>
      <right/>
      <top/>
      <bottom style="thick">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hair">
        <color auto="1"/>
      </left>
      <right style="hair">
        <color auto="1"/>
      </right>
      <top style="thin">
        <color auto="1"/>
      </top>
      <bottom style="hair">
        <color indexed="64"/>
      </bottom>
      <diagonal/>
    </border>
    <border>
      <left style="hair">
        <color auto="1"/>
      </left>
      <right style="hair">
        <color auto="1"/>
      </right>
      <top/>
      <bottom style="hair">
        <color indexed="64"/>
      </bottom>
      <diagonal/>
    </border>
    <border>
      <left style="hair">
        <color auto="1"/>
      </left>
      <right style="medium">
        <color indexed="64"/>
      </right>
      <top/>
      <bottom style="hair">
        <color indexed="64"/>
      </bottom>
      <diagonal/>
    </border>
    <border>
      <left style="medium">
        <color indexed="64"/>
      </left>
      <right style="hair">
        <color auto="1"/>
      </right>
      <top style="hair">
        <color indexed="64"/>
      </top>
      <bottom style="hair">
        <color indexed="64"/>
      </bottom>
      <diagonal/>
    </border>
    <border>
      <left style="hair">
        <color auto="1"/>
      </left>
      <right style="hair">
        <color auto="1"/>
      </right>
      <top style="hair">
        <color indexed="64"/>
      </top>
      <bottom style="hair">
        <color indexed="64"/>
      </bottom>
      <diagonal/>
    </border>
    <border>
      <left style="medium">
        <color indexed="64"/>
      </left>
      <right style="hair">
        <color auto="1"/>
      </right>
      <top style="hair">
        <color indexed="64"/>
      </top>
      <bottom style="medium">
        <color indexed="64"/>
      </bottom>
      <diagonal/>
    </border>
    <border>
      <left style="hair">
        <color auto="1"/>
      </left>
      <right style="hair">
        <color auto="1"/>
      </right>
      <top style="hair">
        <color indexed="64"/>
      </top>
      <bottom style="medium">
        <color indexed="64"/>
      </bottom>
      <diagonal/>
    </border>
    <border>
      <left style="hair">
        <color auto="1"/>
      </left>
      <right style="medium">
        <color indexed="64"/>
      </right>
      <top style="hair">
        <color indexed="64"/>
      </top>
      <bottom style="medium">
        <color indexed="64"/>
      </bottom>
      <diagonal/>
    </border>
    <border>
      <left/>
      <right style="thick">
        <color auto="1"/>
      </right>
      <top style="thin">
        <color auto="1"/>
      </top>
      <bottom style="thin">
        <color auto="1"/>
      </bottom>
      <diagonal/>
    </border>
    <border>
      <left style="medium">
        <color indexed="64"/>
      </left>
      <right style="thin">
        <color auto="1"/>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hair">
        <color indexed="64"/>
      </top>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
      <left style="thin">
        <color indexed="64"/>
      </left>
      <right/>
      <top/>
      <bottom style="hair">
        <color indexed="64"/>
      </bottom>
      <diagonal/>
    </border>
    <border>
      <left/>
      <right/>
      <top/>
      <bottom style="hair">
        <color indexed="64"/>
      </bottom>
      <diagonal/>
    </border>
    <border>
      <left style="thin">
        <color indexed="64"/>
      </left>
      <right style="thin">
        <color auto="1"/>
      </right>
      <top/>
      <bottom style="hair">
        <color auto="1"/>
      </bottom>
      <diagonal/>
    </border>
    <border>
      <left/>
      <right style="hair">
        <color auto="1"/>
      </right>
      <top/>
      <bottom style="thin">
        <color auto="1"/>
      </bottom>
      <diagonal/>
    </border>
    <border>
      <left/>
      <right style="hair">
        <color auto="1"/>
      </right>
      <top style="thin">
        <color indexed="64"/>
      </top>
      <bottom style="hair">
        <color indexed="64"/>
      </bottom>
      <diagonal/>
    </border>
    <border>
      <left/>
      <right style="thin">
        <color indexed="64"/>
      </right>
      <top/>
      <bottom style="hair">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hair">
        <color auto="1"/>
      </right>
      <top style="hair">
        <color indexed="64"/>
      </top>
      <bottom style="hair">
        <color indexed="64"/>
      </bottom>
      <diagonal/>
    </border>
    <border>
      <left style="thick">
        <color auto="1"/>
      </left>
      <right style="thick">
        <color auto="1"/>
      </right>
      <top/>
      <bottom style="thin">
        <color auto="1"/>
      </bottom>
      <diagonal/>
    </border>
    <border>
      <left style="thick">
        <color auto="1"/>
      </left>
      <right style="medium">
        <color indexed="64"/>
      </right>
      <top style="thin">
        <color indexed="64"/>
      </top>
      <bottom/>
      <diagonal/>
    </border>
    <border>
      <left style="thin">
        <color auto="1"/>
      </left>
      <right/>
      <top/>
      <bottom/>
      <diagonal/>
    </border>
    <border>
      <left/>
      <right/>
      <top style="hair">
        <color indexed="64"/>
      </top>
      <bottom style="hair">
        <color auto="1"/>
      </bottom>
      <diagonal/>
    </border>
    <border>
      <left style="hair">
        <color indexed="64"/>
      </left>
      <right style="thin">
        <color indexed="64"/>
      </right>
      <top style="thin">
        <color indexed="64"/>
      </top>
      <bottom style="hair">
        <color indexed="64"/>
      </bottom>
      <diagonal/>
    </border>
    <border>
      <left style="hair">
        <color auto="1"/>
      </left>
      <right style="hair">
        <color auto="1"/>
      </right>
      <top style="hair">
        <color indexed="64"/>
      </top>
      <bottom style="thin">
        <color indexed="64"/>
      </bottom>
      <diagonal/>
    </border>
    <border>
      <left/>
      <right style="hair">
        <color auto="1"/>
      </right>
      <top style="hair">
        <color indexed="64"/>
      </top>
      <bottom style="thin">
        <color auto="1"/>
      </bottom>
      <diagonal/>
    </border>
    <border>
      <left style="hair">
        <color auto="1"/>
      </left>
      <right/>
      <top style="thin">
        <color indexed="64"/>
      </top>
      <bottom style="hair">
        <color auto="1"/>
      </bottom>
      <diagonal/>
    </border>
    <border>
      <left style="hair">
        <color auto="1"/>
      </left>
      <right/>
      <top style="hair">
        <color auto="1"/>
      </top>
      <bottom style="hair">
        <color auto="1"/>
      </bottom>
      <diagonal/>
    </border>
    <border>
      <left style="hair">
        <color auto="1"/>
      </left>
      <right/>
      <top style="hair">
        <color auto="1"/>
      </top>
      <bottom style="thin">
        <color indexed="64"/>
      </bottom>
      <diagonal/>
    </border>
    <border>
      <left/>
      <right style="thin">
        <color theme="0"/>
      </right>
      <top/>
      <bottom style="hair">
        <color indexed="64"/>
      </bottom>
      <diagonal/>
    </border>
    <border>
      <left style="thin">
        <color theme="0"/>
      </left>
      <right/>
      <top style="hair">
        <color indexed="64"/>
      </top>
      <bottom style="hair">
        <color indexed="64"/>
      </bottom>
      <diagonal/>
    </border>
    <border>
      <left style="hair">
        <color indexed="64"/>
      </left>
      <right/>
      <top/>
      <bottom style="hair">
        <color indexed="64"/>
      </bottom>
      <diagonal/>
    </border>
    <border>
      <left style="thin">
        <color auto="1"/>
      </left>
      <right style="hair">
        <color auto="1"/>
      </right>
      <top style="hair">
        <color indexed="64"/>
      </top>
      <bottom style="thin">
        <color indexed="64"/>
      </bottom>
      <diagonal/>
    </border>
    <border>
      <left style="hair">
        <color auto="1"/>
      </left>
      <right/>
      <top style="thin">
        <color indexed="64"/>
      </top>
      <bottom/>
      <diagonal/>
    </border>
    <border>
      <left/>
      <right style="hair">
        <color auto="1"/>
      </right>
      <top style="thin">
        <color indexed="64"/>
      </top>
      <bottom/>
      <diagonal/>
    </border>
    <border>
      <left/>
      <right/>
      <top style="thin">
        <color theme="0" tint="-0.24994659260841701"/>
      </top>
      <bottom style="thin">
        <color theme="0" tint="-0.2499465926084170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hair">
        <color auto="1"/>
      </left>
      <right style="thin">
        <color indexed="64"/>
      </right>
      <top style="thin">
        <color auto="1"/>
      </top>
      <bottom/>
      <diagonal/>
    </border>
    <border>
      <left style="thin">
        <color indexed="64"/>
      </left>
      <right style="hair">
        <color indexed="64"/>
      </right>
      <top/>
      <bottom style="thin">
        <color indexed="64"/>
      </bottom>
      <diagonal/>
    </border>
    <border>
      <left style="thin">
        <color indexed="64"/>
      </left>
      <right style="hair">
        <color auto="1"/>
      </right>
      <top style="thin">
        <color theme="0" tint="-0.24994659260841701"/>
      </top>
      <bottom style="thin">
        <color theme="0" tint="-0.24994659260841701"/>
      </bottom>
      <diagonal/>
    </border>
    <border>
      <left style="hair">
        <color indexed="64"/>
      </left>
      <right/>
      <top style="thin">
        <color theme="0" tint="-0.24994659260841701"/>
      </top>
      <bottom style="thin">
        <color theme="0" tint="-0.24994659260841701"/>
      </bottom>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s>
  <cellStyleXfs count="2">
    <xf numFmtId="0" fontId="0" fillId="0" borderId="0"/>
    <xf numFmtId="0" fontId="3" fillId="0" borderId="0" applyNumberFormat="0" applyFill="0" applyBorder="0" applyAlignment="0" applyProtection="0"/>
  </cellStyleXfs>
  <cellXfs count="908">
    <xf numFmtId="0" fontId="0" fillId="0" borderId="0" xfId="0"/>
    <xf numFmtId="0" fontId="0" fillId="0" borderId="0" xfId="0" applyAlignment="1">
      <alignment vertical="top"/>
    </xf>
    <xf numFmtId="0" fontId="3" fillId="0" borderId="0" xfId="1" applyAlignment="1">
      <alignment vertical="top"/>
    </xf>
    <xf numFmtId="0" fontId="0" fillId="0" borderId="0" xfId="0" applyAlignment="1">
      <alignment horizontal="left" vertical="top"/>
    </xf>
    <xf numFmtId="0" fontId="3" fillId="0" borderId="0" xfId="1" applyAlignment="1">
      <alignment horizontal="center" vertical="top"/>
    </xf>
    <xf numFmtId="0" fontId="5" fillId="0" borderId="0" xfId="0" applyFont="1" applyAlignment="1">
      <alignment horizontal="center" vertical="top"/>
    </xf>
    <xf numFmtId="164" fontId="5" fillId="0" borderId="0" xfId="0" applyNumberFormat="1" applyFont="1" applyAlignment="1">
      <alignment horizontal="center" vertical="top"/>
    </xf>
    <xf numFmtId="0" fontId="0" fillId="0" borderId="0" xfId="0" applyAlignment="1">
      <alignment vertical="center"/>
    </xf>
    <xf numFmtId="0" fontId="1" fillId="3" borderId="4" xfId="0" applyFont="1" applyFill="1" applyBorder="1" applyAlignment="1">
      <alignment vertical="top"/>
    </xf>
    <xf numFmtId="0" fontId="0" fillId="3" borderId="4" xfId="0" applyFill="1" applyBorder="1" applyAlignment="1">
      <alignment horizontal="left" vertical="center"/>
    </xf>
    <xf numFmtId="0" fontId="0" fillId="3" borderId="3" xfId="0" applyFill="1" applyBorder="1" applyAlignment="1">
      <alignment horizontal="left" vertical="center"/>
    </xf>
    <xf numFmtId="0" fontId="5" fillId="0" borderId="0" xfId="0" applyFont="1" applyAlignment="1">
      <alignment vertical="top"/>
    </xf>
    <xf numFmtId="0" fontId="4" fillId="8" borderId="0" xfId="0" applyFont="1" applyFill="1" applyAlignment="1">
      <alignment horizontal="center" vertical="top"/>
    </xf>
    <xf numFmtId="0" fontId="3" fillId="0" borderId="0" xfId="1" applyAlignment="1">
      <alignment horizontal="left" vertical="top"/>
    </xf>
    <xf numFmtId="0" fontId="5" fillId="0" borderId="0" xfId="0" applyFont="1"/>
    <xf numFmtId="0" fontId="0" fillId="0" borderId="0" xfId="0" applyAlignment="1">
      <alignment vertical="top" wrapText="1"/>
    </xf>
    <xf numFmtId="0" fontId="4" fillId="11" borderId="0" xfId="0" quotePrefix="1" applyFont="1" applyFill="1" applyAlignment="1">
      <alignment vertical="top"/>
    </xf>
    <xf numFmtId="0" fontId="19" fillId="0" borderId="0" xfId="0" applyFont="1"/>
    <xf numFmtId="0" fontId="9" fillId="0" borderId="0" xfId="0" applyFont="1" applyAlignment="1">
      <alignment horizontal="center" vertical="center"/>
    </xf>
    <xf numFmtId="0" fontId="9" fillId="0" borderId="0" xfId="0" applyFont="1" applyAlignment="1" applyProtection="1">
      <alignment horizontal="center" vertical="center"/>
      <protection locked="0"/>
    </xf>
    <xf numFmtId="0" fontId="1" fillId="3" borderId="4" xfId="0" applyFont="1" applyFill="1" applyBorder="1" applyAlignment="1">
      <alignment vertical="center"/>
    </xf>
    <xf numFmtId="0" fontId="0" fillId="0" borderId="1" xfId="0" applyBorder="1" applyAlignment="1">
      <alignment vertical="top" wrapText="1"/>
    </xf>
    <xf numFmtId="0" fontId="9" fillId="0" borderId="0" xfId="0" applyFont="1" applyAlignment="1">
      <alignment vertical="top" wrapText="1"/>
    </xf>
    <xf numFmtId="0" fontId="3" fillId="0" borderId="0" xfId="1" applyAlignment="1">
      <alignment horizontal="center" vertical="center"/>
    </xf>
    <xf numFmtId="0" fontId="2" fillId="0" borderId="0" xfId="0" applyFont="1" applyAlignment="1">
      <alignment vertical="top" wrapText="1"/>
    </xf>
    <xf numFmtId="0" fontId="0" fillId="0" borderId="23" xfId="0" applyBorder="1" applyAlignment="1" applyProtection="1">
      <alignment vertical="top" wrapText="1"/>
      <protection locked="0"/>
    </xf>
    <xf numFmtId="0" fontId="2" fillId="0" borderId="21" xfId="0" applyFont="1" applyBorder="1" applyAlignment="1">
      <alignment vertical="top" wrapText="1"/>
    </xf>
    <xf numFmtId="0" fontId="0" fillId="0" borderId="24" xfId="0" applyBorder="1" applyAlignment="1">
      <alignment vertical="top" wrapText="1"/>
    </xf>
    <xf numFmtId="0" fontId="0" fillId="0" borderId="25" xfId="0" applyBorder="1" applyAlignment="1">
      <alignment vertical="top" wrapText="1"/>
    </xf>
    <xf numFmtId="0" fontId="21" fillId="0" borderId="0" xfId="0" applyFont="1" applyAlignment="1">
      <alignment vertical="top" wrapText="1"/>
    </xf>
    <xf numFmtId="0" fontId="26" fillId="0" borderId="0" xfId="1" applyFont="1" applyAlignment="1">
      <alignment vertical="top" wrapText="1"/>
    </xf>
    <xf numFmtId="0" fontId="27" fillId="0" borderId="0" xfId="0" applyFont="1" applyAlignment="1">
      <alignment horizontal="center" vertical="center" wrapText="1"/>
    </xf>
    <xf numFmtId="0" fontId="10" fillId="0" borderId="0" xfId="0" applyFont="1" applyAlignment="1">
      <alignment horizontal="center" vertical="center" wrapText="1"/>
    </xf>
    <xf numFmtId="0" fontId="19" fillId="0" borderId="0" xfId="0" applyFont="1" applyAlignment="1">
      <alignment horizontal="left" vertical="top" wrapText="1"/>
    </xf>
    <xf numFmtId="0" fontId="4" fillId="8" borderId="0" xfId="0" applyFont="1" applyFill="1" applyAlignment="1">
      <alignment horizontal="center" vertical="top" wrapText="1"/>
    </xf>
    <xf numFmtId="0" fontId="5" fillId="0" borderId="33" xfId="0" applyFont="1" applyBorder="1" applyAlignment="1">
      <alignment vertical="top" wrapText="1"/>
    </xf>
    <xf numFmtId="0" fontId="5" fillId="0" borderId="34" xfId="0" applyFont="1" applyBorder="1" applyAlignment="1">
      <alignment vertical="top" wrapText="1"/>
    </xf>
    <xf numFmtId="0" fontId="5" fillId="9" borderId="33" xfId="0" applyFont="1" applyFill="1" applyBorder="1" applyAlignment="1">
      <alignment vertical="top" wrapText="1"/>
    </xf>
    <xf numFmtId="0" fontId="5" fillId="9" borderId="34" xfId="0" applyFont="1" applyFill="1" applyBorder="1" applyAlignment="1">
      <alignment vertical="top" wrapText="1"/>
    </xf>
    <xf numFmtId="0" fontId="5" fillId="12" borderId="33" xfId="0" applyFont="1" applyFill="1" applyBorder="1" applyAlignment="1">
      <alignment vertical="top" wrapText="1"/>
    </xf>
    <xf numFmtId="0" fontId="5" fillId="12" borderId="34" xfId="0" applyFont="1" applyFill="1" applyBorder="1" applyAlignment="1">
      <alignment vertical="top" wrapText="1"/>
    </xf>
    <xf numFmtId="0" fontId="1" fillId="10" borderId="33" xfId="0" applyFont="1" applyFill="1" applyBorder="1" applyAlignment="1">
      <alignment vertical="top" wrapText="1"/>
    </xf>
    <xf numFmtId="0" fontId="1" fillId="10" borderId="34" xfId="0" applyFont="1" applyFill="1" applyBorder="1" applyAlignment="1">
      <alignment vertical="top" wrapText="1"/>
    </xf>
    <xf numFmtId="0" fontId="5" fillId="9" borderId="33" xfId="0" applyFont="1" applyFill="1" applyBorder="1" applyAlignment="1">
      <alignment horizontal="left" vertical="top" wrapText="1"/>
    </xf>
    <xf numFmtId="0" fontId="5" fillId="9" borderId="34" xfId="0" applyFont="1" applyFill="1" applyBorder="1" applyAlignment="1">
      <alignment horizontal="left" vertical="top" wrapText="1"/>
    </xf>
    <xf numFmtId="0" fontId="5" fillId="0" borderId="33" xfId="0" applyFont="1" applyBorder="1" applyAlignment="1">
      <alignment wrapText="1"/>
    </xf>
    <xf numFmtId="0" fontId="5" fillId="0" borderId="34" xfId="0" applyFont="1" applyBorder="1" applyAlignment="1">
      <alignment wrapText="1"/>
    </xf>
    <xf numFmtId="0" fontId="1" fillId="11" borderId="29" xfId="0" applyFont="1" applyFill="1" applyBorder="1" applyAlignment="1">
      <alignment vertical="top" wrapText="1"/>
    </xf>
    <xf numFmtId="0" fontId="2" fillId="14" borderId="29" xfId="0" applyFont="1" applyFill="1" applyBorder="1" applyAlignment="1">
      <alignment vertical="top" wrapText="1"/>
    </xf>
    <xf numFmtId="0" fontId="2" fillId="18" borderId="29" xfId="0" applyFont="1" applyFill="1" applyBorder="1" applyAlignment="1">
      <alignment vertical="top" wrapText="1"/>
    </xf>
    <xf numFmtId="0" fontId="2" fillId="19" borderId="29" xfId="0" applyFont="1" applyFill="1" applyBorder="1" applyAlignment="1">
      <alignment vertical="top" wrapText="1"/>
    </xf>
    <xf numFmtId="0" fontId="2" fillId="20" borderId="29" xfId="0" applyFont="1" applyFill="1" applyBorder="1" applyAlignment="1">
      <alignment vertical="top" wrapText="1"/>
    </xf>
    <xf numFmtId="49" fontId="5" fillId="0" borderId="29" xfId="0" applyNumberFormat="1" applyFont="1" applyBorder="1" applyAlignment="1">
      <alignment vertical="top" wrapText="1"/>
    </xf>
    <xf numFmtId="0" fontId="5" fillId="0" borderId="29" xfId="0" applyFont="1" applyBorder="1" applyAlignment="1">
      <alignment vertical="top" wrapText="1"/>
    </xf>
    <xf numFmtId="0" fontId="5" fillId="9" borderId="29" xfId="0" applyFont="1" applyFill="1" applyBorder="1" applyAlignment="1">
      <alignment horizontal="left" vertical="top" wrapText="1"/>
    </xf>
    <xf numFmtId="0" fontId="5" fillId="12" borderId="29" xfId="0" applyFont="1" applyFill="1" applyBorder="1" applyAlignment="1">
      <alignment vertical="top" wrapText="1"/>
    </xf>
    <xf numFmtId="0" fontId="5" fillId="9" borderId="29" xfId="0" applyFont="1" applyFill="1" applyBorder="1" applyAlignment="1">
      <alignment vertical="top" wrapText="1"/>
    </xf>
    <xf numFmtId="49" fontId="5" fillId="0" borderId="33" xfId="0" applyNumberFormat="1" applyFont="1" applyBorder="1" applyAlignment="1">
      <alignment vertical="top" wrapText="1"/>
    </xf>
    <xf numFmtId="49" fontId="5" fillId="0" borderId="34" xfId="0" applyNumberFormat="1" applyFont="1" applyBorder="1" applyAlignment="1">
      <alignment vertical="top" wrapText="1"/>
    </xf>
    <xf numFmtId="0" fontId="1" fillId="6" borderId="35" xfId="0" applyFont="1" applyFill="1" applyBorder="1" applyAlignment="1">
      <alignment vertical="top" wrapText="1"/>
    </xf>
    <xf numFmtId="0" fontId="1" fillId="6" borderId="36" xfId="0" applyFont="1" applyFill="1" applyBorder="1" applyAlignment="1">
      <alignment vertical="top" wrapText="1"/>
    </xf>
    <xf numFmtId="0" fontId="5" fillId="0" borderId="35" xfId="0" applyFont="1" applyBorder="1" applyAlignment="1">
      <alignment vertical="top" wrapText="1"/>
    </xf>
    <xf numFmtId="0" fontId="5" fillId="0" borderId="36" xfId="0" applyFont="1" applyBorder="1" applyAlignment="1">
      <alignment vertical="top" wrapText="1"/>
    </xf>
    <xf numFmtId="0" fontId="5" fillId="9" borderId="35" xfId="0" applyFont="1" applyFill="1" applyBorder="1" applyAlignment="1">
      <alignment vertical="top" wrapText="1"/>
    </xf>
    <xf numFmtId="0" fontId="5" fillId="9" borderId="36" xfId="0" applyFont="1" applyFill="1" applyBorder="1" applyAlignment="1">
      <alignment vertical="top" wrapText="1"/>
    </xf>
    <xf numFmtId="0" fontId="5" fillId="12" borderId="35" xfId="0" applyFont="1" applyFill="1" applyBorder="1" applyAlignment="1">
      <alignment vertical="top" wrapText="1"/>
    </xf>
    <xf numFmtId="0" fontId="5" fillId="12" borderId="36" xfId="0" applyFont="1" applyFill="1" applyBorder="1" applyAlignment="1">
      <alignment vertical="top" wrapText="1"/>
    </xf>
    <xf numFmtId="0" fontId="5" fillId="0" borderId="35" xfId="0" applyFont="1" applyBorder="1" applyAlignment="1">
      <alignment vertical="center" wrapText="1"/>
    </xf>
    <xf numFmtId="0" fontId="5" fillId="0" borderId="36" xfId="0" applyFont="1" applyBorder="1" applyAlignment="1">
      <alignment vertical="center" wrapText="1"/>
    </xf>
    <xf numFmtId="0" fontId="5" fillId="0" borderId="35" xfId="0" applyFont="1" applyBorder="1" applyAlignment="1">
      <alignment horizontal="left" vertical="top" wrapText="1"/>
    </xf>
    <xf numFmtId="0" fontId="5" fillId="0" borderId="36" xfId="0" applyFont="1" applyBorder="1" applyAlignment="1">
      <alignment horizontal="left" vertical="top" wrapText="1"/>
    </xf>
    <xf numFmtId="0" fontId="1" fillId="7" borderId="35" xfId="0" applyFont="1" applyFill="1" applyBorder="1" applyAlignment="1">
      <alignment vertical="top" wrapText="1"/>
    </xf>
    <xf numFmtId="0" fontId="1" fillId="7" borderId="36" xfId="0" applyFont="1" applyFill="1" applyBorder="1" applyAlignment="1">
      <alignment vertical="top" wrapText="1"/>
    </xf>
    <xf numFmtId="0" fontId="0" fillId="21" borderId="36" xfId="0" applyFill="1" applyBorder="1" applyAlignment="1">
      <alignment vertical="top" wrapText="1"/>
    </xf>
    <xf numFmtId="0" fontId="2" fillId="21" borderId="36" xfId="0" applyFont="1" applyFill="1" applyBorder="1" applyAlignment="1">
      <alignment vertical="top" wrapText="1"/>
    </xf>
    <xf numFmtId="0" fontId="47" fillId="3" borderId="2" xfId="0" applyFont="1" applyFill="1" applyBorder="1" applyAlignment="1">
      <alignment vertical="center"/>
    </xf>
    <xf numFmtId="0" fontId="48" fillId="3" borderId="2" xfId="1" applyFont="1" applyFill="1" applyBorder="1" applyAlignment="1">
      <alignment vertical="center"/>
    </xf>
    <xf numFmtId="0" fontId="6" fillId="22" borderId="0" xfId="0" applyFont="1" applyFill="1" applyAlignment="1">
      <alignment horizontal="center"/>
    </xf>
    <xf numFmtId="0" fontId="29" fillId="22" borderId="0" xfId="1" applyFont="1" applyFill="1" applyAlignment="1">
      <alignment horizontal="center" vertical="center" wrapText="1"/>
    </xf>
    <xf numFmtId="0" fontId="28" fillId="22" borderId="0" xfId="1" applyFont="1" applyFill="1" applyAlignment="1">
      <alignment horizontal="center" vertical="center" wrapText="1"/>
    </xf>
    <xf numFmtId="0" fontId="17" fillId="0" borderId="31" xfId="0" applyFont="1" applyBorder="1" applyAlignment="1">
      <alignment vertical="top" wrapText="1"/>
    </xf>
    <xf numFmtId="0" fontId="17" fillId="0" borderId="0" xfId="0" applyFont="1"/>
    <xf numFmtId="0" fontId="17" fillId="0" borderId="0" xfId="0" applyFont="1" applyAlignment="1">
      <alignment vertical="top" wrapText="1"/>
    </xf>
    <xf numFmtId="0" fontId="17" fillId="0" borderId="1" xfId="0" applyFont="1" applyBorder="1" applyAlignment="1">
      <alignment vertical="top" wrapText="1"/>
    </xf>
    <xf numFmtId="0" fontId="17" fillId="0" borderId="0" xfId="0" applyFont="1" applyAlignment="1">
      <alignment vertical="center" wrapText="1"/>
    </xf>
    <xf numFmtId="0" fontId="17" fillId="0" borderId="0" xfId="0" applyFont="1" applyAlignment="1">
      <alignment vertical="center"/>
    </xf>
    <xf numFmtId="0" fontId="2" fillId="23" borderId="21" xfId="0" applyFont="1" applyFill="1" applyBorder="1" applyAlignment="1">
      <alignment vertical="top" wrapText="1"/>
    </xf>
    <xf numFmtId="0" fontId="1" fillId="23" borderId="21" xfId="0" applyFont="1" applyFill="1" applyBorder="1" applyAlignment="1">
      <alignment vertical="top" wrapText="1"/>
    </xf>
    <xf numFmtId="0" fontId="1" fillId="23" borderId="22" xfId="0" applyFont="1" applyFill="1" applyBorder="1" applyAlignment="1">
      <alignment vertical="top" wrapText="1"/>
    </xf>
    <xf numFmtId="0" fontId="0" fillId="12" borderId="24" xfId="0" applyFill="1" applyBorder="1" applyAlignment="1" applyProtection="1">
      <alignment vertical="top" wrapText="1"/>
      <protection locked="0"/>
    </xf>
    <xf numFmtId="0" fontId="3" fillId="12" borderId="24" xfId="1" applyFill="1" applyBorder="1" applyAlignment="1" applyProtection="1">
      <alignment vertical="top" wrapText="1"/>
      <protection locked="0"/>
    </xf>
    <xf numFmtId="0" fontId="1" fillId="22" borderId="21" xfId="0" applyFont="1" applyFill="1" applyBorder="1" applyAlignment="1">
      <alignment vertical="top" wrapText="1"/>
    </xf>
    <xf numFmtId="0" fontId="1" fillId="22" borderId="0" xfId="0" applyFont="1" applyFill="1" applyAlignment="1">
      <alignment vertical="top" wrapText="1"/>
    </xf>
    <xf numFmtId="0" fontId="1" fillId="22" borderId="20" xfId="0" applyFont="1" applyFill="1" applyBorder="1" applyAlignment="1">
      <alignment horizontal="center" vertical="top" wrapText="1"/>
    </xf>
    <xf numFmtId="0" fontId="1" fillId="22" borderId="1" xfId="0" applyFont="1" applyFill="1" applyBorder="1" applyAlignment="1">
      <alignment horizontal="center" vertical="center" wrapText="1"/>
    </xf>
    <xf numFmtId="0" fontId="13" fillId="12" borderId="3" xfId="0" applyFont="1" applyFill="1" applyBorder="1" applyAlignment="1" applyProtection="1">
      <alignment horizontal="center" vertical="center"/>
      <protection locked="0"/>
    </xf>
    <xf numFmtId="0" fontId="2" fillId="25" borderId="35" xfId="0" applyFont="1" applyFill="1" applyBorder="1" applyAlignment="1">
      <alignment vertical="top" wrapText="1"/>
    </xf>
    <xf numFmtId="0" fontId="2" fillId="25" borderId="36" xfId="0" applyFont="1" applyFill="1" applyBorder="1" applyAlignment="1">
      <alignment vertical="top" wrapText="1"/>
    </xf>
    <xf numFmtId="0" fontId="15" fillId="0" borderId="36" xfId="0" applyFont="1" applyBorder="1" applyAlignment="1">
      <alignment vertical="top" wrapText="1"/>
    </xf>
    <xf numFmtId="0" fontId="2" fillId="26" borderId="35" xfId="0" applyFont="1" applyFill="1" applyBorder="1" applyAlignment="1">
      <alignment vertical="top" wrapText="1"/>
    </xf>
    <xf numFmtId="0" fontId="2" fillId="26" borderId="36" xfId="0" applyFont="1" applyFill="1" applyBorder="1" applyAlignment="1">
      <alignment vertical="top" wrapText="1"/>
    </xf>
    <xf numFmtId="0" fontId="2" fillId="12" borderId="1" xfId="0" applyFont="1" applyFill="1" applyBorder="1" applyAlignment="1">
      <alignment vertical="top" wrapText="1"/>
    </xf>
    <xf numFmtId="0" fontId="19" fillId="0" borderId="1" xfId="0" applyFont="1" applyBorder="1" applyAlignment="1">
      <alignment vertical="top" wrapText="1"/>
    </xf>
    <xf numFmtId="0" fontId="1" fillId="27" borderId="35" xfId="0" applyFont="1" applyFill="1" applyBorder="1" applyAlignment="1">
      <alignment vertical="top" wrapText="1"/>
    </xf>
    <xf numFmtId="0" fontId="1" fillId="27" borderId="36" xfId="0" applyFont="1" applyFill="1" applyBorder="1" applyAlignment="1">
      <alignment vertical="top" wrapText="1"/>
    </xf>
    <xf numFmtId="0" fontId="1" fillId="28" borderId="35" xfId="0" applyFont="1" applyFill="1" applyBorder="1" applyAlignment="1">
      <alignment vertical="top" wrapText="1"/>
    </xf>
    <xf numFmtId="0" fontId="9" fillId="0" borderId="35" xfId="0" applyFont="1" applyBorder="1" applyAlignment="1">
      <alignment vertical="top" wrapText="1"/>
    </xf>
    <xf numFmtId="0" fontId="40" fillId="0" borderId="0" xfId="0" applyFont="1" applyAlignment="1">
      <alignment vertical="center"/>
    </xf>
    <xf numFmtId="0" fontId="1" fillId="3" borderId="2" xfId="1" applyFont="1" applyFill="1" applyBorder="1" applyAlignment="1">
      <alignment horizontal="left" vertical="center"/>
    </xf>
    <xf numFmtId="0" fontId="1" fillId="3" borderId="4" xfId="1" applyFont="1" applyFill="1" applyBorder="1" applyAlignment="1">
      <alignment horizontal="left" vertical="center"/>
    </xf>
    <xf numFmtId="0" fontId="55" fillId="3" borderId="4" xfId="1" applyFont="1" applyFill="1" applyBorder="1" applyAlignment="1">
      <alignment horizontal="center" vertical="center" wrapText="1"/>
    </xf>
    <xf numFmtId="0" fontId="55" fillId="3" borderId="3" xfId="1" applyFont="1" applyFill="1" applyBorder="1" applyAlignment="1">
      <alignment horizontal="center" vertical="center" wrapText="1"/>
    </xf>
    <xf numFmtId="0" fontId="5" fillId="0" borderId="0" xfId="0" applyFont="1" applyAlignment="1">
      <alignment vertical="top" wrapText="1"/>
    </xf>
    <xf numFmtId="0" fontId="1" fillId="16" borderId="33" xfId="0" applyFont="1" applyFill="1" applyBorder="1" applyAlignment="1">
      <alignment vertical="top" wrapText="1"/>
    </xf>
    <xf numFmtId="0" fontId="1" fillId="16" borderId="34" xfId="0" applyFont="1" applyFill="1" applyBorder="1" applyAlignment="1">
      <alignment vertical="top" wrapText="1"/>
    </xf>
    <xf numFmtId="0" fontId="1" fillId="3" borderId="29" xfId="0" applyFont="1" applyFill="1" applyBorder="1" applyAlignment="1">
      <alignment vertical="top" wrapText="1"/>
    </xf>
    <xf numFmtId="0" fontId="2" fillId="31" borderId="35" xfId="0" applyFont="1" applyFill="1" applyBorder="1" applyAlignment="1">
      <alignment vertical="top" wrapText="1"/>
    </xf>
    <xf numFmtId="0" fontId="2" fillId="31" borderId="36" xfId="0" applyFont="1" applyFill="1" applyBorder="1" applyAlignment="1">
      <alignment vertical="top" wrapText="1"/>
    </xf>
    <xf numFmtId="0" fontId="1" fillId="18" borderId="34" xfId="0" applyFont="1" applyFill="1" applyBorder="1" applyAlignment="1">
      <alignment vertical="top" wrapText="1"/>
    </xf>
    <xf numFmtId="0" fontId="1" fillId="18" borderId="29" xfId="0" applyFont="1" applyFill="1" applyBorder="1" applyAlignment="1">
      <alignment vertical="top" wrapText="1"/>
    </xf>
    <xf numFmtId="0" fontId="62" fillId="0" borderId="0" xfId="0" applyFont="1" applyAlignment="1">
      <alignment horizontal="right" vertical="center" wrapText="1"/>
    </xf>
    <xf numFmtId="0" fontId="15" fillId="0" borderId="0" xfId="0" applyFont="1" applyAlignment="1">
      <alignment vertical="center" wrapText="1"/>
    </xf>
    <xf numFmtId="0" fontId="61" fillId="0" borderId="0" xfId="0" applyFont="1" applyAlignment="1">
      <alignment vertical="center" wrapText="1"/>
    </xf>
    <xf numFmtId="0" fontId="1" fillId="11" borderId="0" xfId="0" applyFont="1" applyFill="1" applyAlignment="1">
      <alignment horizontal="right" vertical="center" wrapText="1"/>
    </xf>
    <xf numFmtId="0" fontId="64" fillId="0" borderId="0" xfId="0" applyFont="1" applyAlignment="1">
      <alignment vertical="top" wrapText="1"/>
    </xf>
    <xf numFmtId="0" fontId="5" fillId="0" borderId="0" xfId="0" applyFont="1" applyAlignment="1">
      <alignment horizontal="right" vertical="center"/>
    </xf>
    <xf numFmtId="0" fontId="19" fillId="0" borderId="0" xfId="0" applyFont="1" applyAlignment="1">
      <alignment horizontal="right" vertical="center"/>
    </xf>
    <xf numFmtId="0" fontId="15" fillId="0" borderId="0" xfId="0" applyFont="1" applyAlignment="1">
      <alignment horizontal="left" vertical="center" wrapText="1"/>
    </xf>
    <xf numFmtId="0" fontId="5" fillId="0" borderId="0" xfId="0" applyFont="1" applyAlignment="1">
      <alignment horizontal="left" vertical="center"/>
    </xf>
    <xf numFmtId="0" fontId="5" fillId="0" borderId="0" xfId="0" applyFont="1" applyAlignment="1">
      <alignment horizontal="left" vertical="center" wrapText="1"/>
    </xf>
    <xf numFmtId="0" fontId="4" fillId="0" borderId="0" xfId="0" applyFont="1" applyAlignment="1">
      <alignment vertical="center"/>
    </xf>
    <xf numFmtId="0" fontId="4" fillId="0" borderId="0" xfId="0" applyFont="1" applyAlignment="1">
      <alignment vertical="top"/>
    </xf>
    <xf numFmtId="0" fontId="18" fillId="0" borderId="0" xfId="0" applyFont="1" applyAlignment="1">
      <alignment horizontal="right" vertical="center"/>
    </xf>
    <xf numFmtId="0" fontId="1" fillId="0" borderId="0" xfId="1" applyFont="1" applyFill="1" applyBorder="1" applyAlignment="1" applyProtection="1">
      <alignment horizontal="left" vertical="center"/>
    </xf>
    <xf numFmtId="0" fontId="4" fillId="0" borderId="0" xfId="0" applyFont="1" applyAlignment="1" applyProtection="1">
      <alignment horizontal="left" vertical="center"/>
      <protection locked="0"/>
    </xf>
    <xf numFmtId="0" fontId="4" fillId="0" borderId="0" xfId="1" applyFont="1" applyFill="1" applyBorder="1" applyAlignment="1" applyProtection="1">
      <alignment vertical="center" wrapText="1"/>
    </xf>
    <xf numFmtId="0" fontId="1" fillId="0" borderId="0" xfId="1" applyFont="1" applyFill="1" applyBorder="1" applyAlignment="1" applyProtection="1">
      <alignment horizontal="left" vertical="center" wrapText="1"/>
    </xf>
    <xf numFmtId="0" fontId="4" fillId="0" borderId="0" xfId="1" applyFont="1" applyFill="1" applyBorder="1" applyAlignment="1" applyProtection="1">
      <alignment horizontal="left" vertical="center" wrapText="1"/>
      <protection locked="0"/>
    </xf>
    <xf numFmtId="0" fontId="5" fillId="12" borderId="24" xfId="0" applyFont="1" applyFill="1" applyBorder="1" applyAlignment="1">
      <alignment vertical="top" wrapText="1"/>
    </xf>
    <xf numFmtId="0" fontId="5" fillId="0" borderId="24" xfId="0" applyFont="1" applyBorder="1" applyAlignment="1">
      <alignment wrapText="1"/>
    </xf>
    <xf numFmtId="0" fontId="5" fillId="0" borderId="24" xfId="0" applyFont="1" applyBorder="1" applyAlignment="1">
      <alignment vertical="top" wrapText="1"/>
    </xf>
    <xf numFmtId="0" fontId="5" fillId="32" borderId="35" xfId="0" applyFont="1" applyFill="1" applyBorder="1" applyAlignment="1">
      <alignment vertical="top" wrapText="1"/>
    </xf>
    <xf numFmtId="0" fontId="5" fillId="12" borderId="0" xfId="0" applyFont="1" applyFill="1" applyAlignment="1">
      <alignment vertical="top"/>
    </xf>
    <xf numFmtId="0" fontId="5" fillId="32" borderId="29" xfId="0" applyFont="1" applyFill="1" applyBorder="1" applyAlignment="1">
      <alignment vertical="top" wrapText="1"/>
    </xf>
    <xf numFmtId="0" fontId="50" fillId="0" borderId="0" xfId="0" applyFont="1" applyAlignment="1">
      <alignment vertical="top" wrapText="1"/>
    </xf>
    <xf numFmtId="0" fontId="62" fillId="0" borderId="0" xfId="0" applyFont="1" applyAlignment="1">
      <alignment horizontal="left" vertical="center" wrapText="1"/>
    </xf>
    <xf numFmtId="0" fontId="17" fillId="0" borderId="0" xfId="0" applyFont="1" applyAlignment="1" applyProtection="1">
      <alignment vertical="center" wrapText="1"/>
      <protection locked="0"/>
    </xf>
    <xf numFmtId="0" fontId="9" fillId="9" borderId="51" xfId="0" applyFont="1" applyFill="1" applyBorder="1"/>
    <xf numFmtId="0" fontId="57" fillId="9" borderId="51" xfId="0" applyFont="1" applyFill="1" applyBorder="1"/>
    <xf numFmtId="0" fontId="42" fillId="5" borderId="3" xfId="0" applyFont="1" applyFill="1" applyBorder="1" applyAlignment="1" applyProtection="1">
      <alignment horizontal="left" vertical="center"/>
      <protection locked="0"/>
    </xf>
    <xf numFmtId="0" fontId="5" fillId="0" borderId="51" xfId="0" applyFont="1" applyBorder="1" applyProtection="1">
      <protection locked="0"/>
    </xf>
    <xf numFmtId="0" fontId="6" fillId="22" borderId="37" xfId="0" applyFont="1" applyFill="1" applyBorder="1" applyAlignment="1">
      <alignment horizontal="left" vertical="center" wrapText="1"/>
    </xf>
    <xf numFmtId="0" fontId="69" fillId="0" borderId="38" xfId="0" applyFont="1" applyBorder="1" applyAlignment="1">
      <alignment horizontal="left" vertical="center" wrapText="1"/>
    </xf>
    <xf numFmtId="0" fontId="0" fillId="13" borderId="0" xfId="0" applyFill="1"/>
    <xf numFmtId="0" fontId="0" fillId="13" borderId="0" xfId="0" applyFill="1" applyAlignment="1">
      <alignment vertical="top"/>
    </xf>
    <xf numFmtId="0" fontId="1" fillId="22" borderId="2" xfId="0" applyFont="1" applyFill="1" applyBorder="1" applyAlignment="1">
      <alignment horizontal="right" vertical="center"/>
    </xf>
    <xf numFmtId="0" fontId="1" fillId="22" borderId="2" xfId="0" applyFont="1" applyFill="1" applyBorder="1" applyAlignment="1">
      <alignment vertical="center"/>
    </xf>
    <xf numFmtId="0" fontId="27" fillId="22" borderId="4" xfId="0" applyFont="1" applyFill="1" applyBorder="1" applyAlignment="1">
      <alignment horizontal="right" vertical="center"/>
    </xf>
    <xf numFmtId="0" fontId="68" fillId="0" borderId="8" xfId="0" applyFont="1" applyBorder="1" applyAlignment="1">
      <alignment vertical="center"/>
    </xf>
    <xf numFmtId="0" fontId="0" fillId="13" borderId="0" xfId="0" applyFill="1" applyAlignment="1">
      <alignment horizontal="left" vertical="center"/>
    </xf>
    <xf numFmtId="0" fontId="27" fillId="0" borderId="0" xfId="1" applyFont="1" applyFill="1" applyBorder="1" applyAlignment="1" applyProtection="1">
      <alignment horizontal="right" vertical="center"/>
    </xf>
    <xf numFmtId="7" fontId="16" fillId="12" borderId="12" xfId="0" applyNumberFormat="1" applyFont="1" applyFill="1" applyBorder="1" applyAlignment="1" applyProtection="1">
      <alignment horizontal="left" vertical="center"/>
      <protection locked="0"/>
    </xf>
    <xf numFmtId="0" fontId="63" fillId="0" borderId="0" xfId="1" applyFont="1" applyAlignment="1">
      <alignment vertical="center" wrapText="1"/>
    </xf>
    <xf numFmtId="0" fontId="27" fillId="22" borderId="12" xfId="0" applyFont="1" applyFill="1" applyBorder="1" applyAlignment="1">
      <alignment horizontal="right" vertical="center"/>
    </xf>
    <xf numFmtId="0" fontId="1" fillId="3" borderId="4" xfId="0" applyFont="1" applyFill="1" applyBorder="1" applyAlignment="1">
      <alignment horizontal="right" vertical="center"/>
    </xf>
    <xf numFmtId="14" fontId="5" fillId="0" borderId="0" xfId="0" applyNumberFormat="1" applyFont="1" applyAlignment="1">
      <alignment horizontal="center" vertical="top"/>
    </xf>
    <xf numFmtId="0" fontId="0" fillId="0" borderId="0" xfId="0" applyAlignment="1">
      <alignment horizontal="center" vertical="top"/>
    </xf>
    <xf numFmtId="14" fontId="5" fillId="0" borderId="35" xfId="0" applyNumberFormat="1" applyFont="1" applyBorder="1" applyAlignment="1">
      <alignment vertical="top" wrapText="1"/>
    </xf>
    <xf numFmtId="14" fontId="5" fillId="12" borderId="35" xfId="0" applyNumberFormat="1" applyFont="1" applyFill="1" applyBorder="1" applyAlignment="1">
      <alignment vertical="top" wrapText="1"/>
    </xf>
    <xf numFmtId="0" fontId="17" fillId="0" borderId="21" xfId="0" applyFont="1" applyBorder="1" applyAlignment="1">
      <alignment horizontal="center"/>
    </xf>
    <xf numFmtId="0" fontId="19" fillId="0" borderId="0" xfId="0" applyFont="1" applyAlignment="1">
      <alignment vertical="center"/>
    </xf>
    <xf numFmtId="0" fontId="4" fillId="0" borderId="0" xfId="0" applyFont="1" applyAlignment="1">
      <alignment horizontal="right" vertical="center"/>
    </xf>
    <xf numFmtId="0" fontId="61" fillId="0" borderId="0" xfId="0" applyFont="1" applyAlignment="1">
      <alignment horizontal="right" vertical="center"/>
    </xf>
    <xf numFmtId="0" fontId="4" fillId="0" borderId="0" xfId="0" applyFont="1" applyAlignment="1" applyProtection="1">
      <alignment vertical="top"/>
      <protection locked="0"/>
    </xf>
    <xf numFmtId="0" fontId="50" fillId="0" borderId="0" xfId="0" applyFont="1" applyAlignment="1" applyProtection="1">
      <alignment vertical="top" wrapText="1"/>
      <protection locked="0"/>
    </xf>
    <xf numFmtId="0" fontId="17" fillId="0" borderId="48" xfId="0" applyFont="1" applyBorder="1" applyAlignment="1">
      <alignment vertical="top" wrapText="1"/>
    </xf>
    <xf numFmtId="0" fontId="17" fillId="0" borderId="6" xfId="0" applyFont="1" applyBorder="1" applyAlignment="1">
      <alignment vertical="top" wrapText="1"/>
    </xf>
    <xf numFmtId="0" fontId="17" fillId="0" borderId="24" xfId="0" applyFont="1" applyBorder="1" applyAlignment="1">
      <alignment horizontal="center"/>
    </xf>
    <xf numFmtId="0" fontId="17" fillId="0" borderId="1" xfId="0" applyFont="1" applyBorder="1" applyAlignment="1">
      <alignment vertical="center" wrapText="1"/>
    </xf>
    <xf numFmtId="0" fontId="17" fillId="0" borderId="19" xfId="0" applyFont="1" applyBorder="1" applyAlignment="1">
      <alignment vertical="center" wrapText="1"/>
    </xf>
    <xf numFmtId="0" fontId="17" fillId="0" borderId="55" xfId="0" applyFont="1" applyBorder="1" applyAlignment="1">
      <alignment vertical="center" wrapText="1"/>
    </xf>
    <xf numFmtId="0" fontId="1" fillId="3" borderId="3" xfId="1" applyFont="1" applyFill="1" applyBorder="1" applyAlignment="1">
      <alignment horizontal="left" vertical="center"/>
    </xf>
    <xf numFmtId="0" fontId="8" fillId="22" borderId="3" xfId="0" applyFont="1" applyFill="1" applyBorder="1" applyAlignment="1">
      <alignment horizontal="right" vertical="center" wrapText="1"/>
    </xf>
    <xf numFmtId="0" fontId="27" fillId="22" borderId="3" xfId="0" applyFont="1" applyFill="1" applyBorder="1" applyAlignment="1">
      <alignment horizontal="right" vertical="center"/>
    </xf>
    <xf numFmtId="0" fontId="17" fillId="0" borderId="18" xfId="0" applyFont="1" applyBorder="1" applyAlignment="1">
      <alignment vertical="center"/>
    </xf>
    <xf numFmtId="0" fontId="17" fillId="33" borderId="31" xfId="0" applyFont="1" applyFill="1" applyBorder="1" applyAlignment="1">
      <alignment vertical="top" wrapText="1"/>
    </xf>
    <xf numFmtId="0" fontId="57" fillId="21" borderId="35" xfId="0" applyFont="1" applyFill="1" applyBorder="1" applyAlignment="1">
      <alignment vertical="top" wrapText="1"/>
    </xf>
    <xf numFmtId="0" fontId="5" fillId="13" borderId="29" xfId="0" applyFont="1" applyFill="1" applyBorder="1" applyAlignment="1">
      <alignment vertical="top" wrapText="1"/>
    </xf>
    <xf numFmtId="0" fontId="9" fillId="0" borderId="29" xfId="0" applyFont="1" applyBorder="1" applyAlignment="1">
      <alignment vertical="top" wrapText="1"/>
    </xf>
    <xf numFmtId="0" fontId="3" fillId="0" borderId="29" xfId="1" applyBorder="1" applyAlignment="1">
      <alignment vertical="top" wrapText="1"/>
    </xf>
    <xf numFmtId="0" fontId="1" fillId="8" borderId="29" xfId="0" applyFont="1" applyFill="1" applyBorder="1" applyAlignment="1">
      <alignment vertical="top" wrapText="1"/>
    </xf>
    <xf numFmtId="0" fontId="15" fillId="8" borderId="29" xfId="0" applyFont="1" applyFill="1" applyBorder="1" applyAlignment="1">
      <alignment vertical="top" wrapText="1"/>
    </xf>
    <xf numFmtId="0" fontId="25" fillId="36" borderId="29" xfId="0" applyFont="1" applyFill="1" applyBorder="1" applyAlignment="1">
      <alignment vertical="top" wrapText="1"/>
    </xf>
    <xf numFmtId="0" fontId="25" fillId="34" borderId="29" xfId="0" applyFont="1" applyFill="1" applyBorder="1" applyAlignment="1">
      <alignment vertical="top" wrapText="1"/>
    </xf>
    <xf numFmtId="0" fontId="25" fillId="35" borderId="29" xfId="0" applyFont="1" applyFill="1" applyBorder="1" applyAlignment="1">
      <alignment vertical="top" wrapText="1"/>
    </xf>
    <xf numFmtId="0" fontId="25" fillId="30" borderId="29" xfId="0" applyFont="1" applyFill="1" applyBorder="1" applyAlignment="1">
      <alignment vertical="top" wrapText="1"/>
    </xf>
    <xf numFmtId="0" fontId="2" fillId="25" borderId="29" xfId="0" applyFont="1" applyFill="1" applyBorder="1" applyAlignment="1">
      <alignment vertical="top" wrapText="1"/>
    </xf>
    <xf numFmtId="0" fontId="0" fillId="0" borderId="0" xfId="0" applyAlignment="1">
      <alignment horizontal="center"/>
    </xf>
    <xf numFmtId="0" fontId="3" fillId="0" borderId="0" xfId="1" applyBorder="1" applyAlignment="1">
      <alignment vertical="top"/>
    </xf>
    <xf numFmtId="0" fontId="8" fillId="22" borderId="9" xfId="0" applyFont="1" applyFill="1" applyBorder="1" applyAlignment="1">
      <alignment horizontal="right" vertical="center"/>
    </xf>
    <xf numFmtId="0" fontId="5" fillId="38" borderId="35" xfId="0" applyFont="1" applyFill="1" applyBorder="1" applyAlignment="1">
      <alignment vertical="top" wrapText="1"/>
    </xf>
    <xf numFmtId="0" fontId="5" fillId="38" borderId="33" xfId="0" applyFont="1" applyFill="1" applyBorder="1" applyAlignment="1">
      <alignment vertical="top" wrapText="1"/>
    </xf>
    <xf numFmtId="0" fontId="5" fillId="38" borderId="33" xfId="0" applyFont="1" applyFill="1" applyBorder="1" applyAlignment="1">
      <alignment wrapText="1"/>
    </xf>
    <xf numFmtId="0" fontId="5" fillId="38" borderId="29" xfId="0" applyFont="1" applyFill="1" applyBorder="1" applyAlignment="1">
      <alignment vertical="top" wrapText="1"/>
    </xf>
    <xf numFmtId="0" fontId="55" fillId="3" borderId="5" xfId="1" applyFont="1" applyFill="1" applyBorder="1" applyAlignment="1">
      <alignment horizontal="center" vertical="center" wrapText="1"/>
    </xf>
    <xf numFmtId="0" fontId="55" fillId="3" borderId="8" xfId="1" applyFont="1" applyFill="1" applyBorder="1" applyAlignment="1">
      <alignment horizontal="center" vertical="center" wrapText="1"/>
    </xf>
    <xf numFmtId="0" fontId="3" fillId="3" borderId="5" xfId="1" applyFill="1" applyBorder="1" applyAlignment="1">
      <alignment horizontal="center" vertical="center" wrapText="1"/>
    </xf>
    <xf numFmtId="0" fontId="60" fillId="0" borderId="0" xfId="0" applyFont="1" applyAlignment="1">
      <alignment vertical="center"/>
    </xf>
    <xf numFmtId="0" fontId="4" fillId="0" borderId="0" xfId="0" applyFont="1" applyAlignment="1" applyProtection="1">
      <alignment vertical="center"/>
      <protection locked="0"/>
    </xf>
    <xf numFmtId="0" fontId="18" fillId="0" borderId="0" xfId="0" applyFont="1" applyAlignment="1">
      <alignment horizontal="right" vertical="center" wrapText="1"/>
    </xf>
    <xf numFmtId="0" fontId="4" fillId="0" borderId="0" xfId="0" applyFont="1" applyAlignment="1">
      <alignment vertical="center" wrapText="1"/>
    </xf>
    <xf numFmtId="0" fontId="48" fillId="3" borderId="4" xfId="1" applyFont="1" applyFill="1" applyBorder="1" applyAlignment="1">
      <alignment vertical="center"/>
    </xf>
    <xf numFmtId="0" fontId="0" fillId="0" borderId="0" xfId="0" applyAlignment="1">
      <alignment horizontal="right" vertical="top"/>
    </xf>
    <xf numFmtId="0" fontId="4" fillId="0" borderId="0" xfId="0" applyFont="1" applyAlignment="1">
      <alignment horizontal="left" vertical="top" wrapText="1"/>
    </xf>
    <xf numFmtId="0" fontId="1" fillId="3" borderId="0" xfId="0" applyFont="1" applyFill="1" applyAlignment="1">
      <alignment vertical="center" wrapText="1"/>
    </xf>
    <xf numFmtId="0" fontId="75" fillId="0" borderId="0" xfId="0" applyFont="1" applyAlignment="1">
      <alignment horizontal="left" vertical="top" wrapText="1"/>
    </xf>
    <xf numFmtId="0" fontId="75" fillId="0" borderId="0" xfId="0" applyFont="1" applyAlignment="1">
      <alignment vertical="top" wrapText="1"/>
    </xf>
    <xf numFmtId="0" fontId="76" fillId="0" borderId="0" xfId="0" applyFont="1" applyAlignment="1">
      <alignment horizontal="left" vertical="top" wrapText="1"/>
    </xf>
    <xf numFmtId="0" fontId="0" fillId="0" borderId="0" xfId="0" applyAlignment="1">
      <alignment horizontal="left" vertical="top" wrapText="1"/>
    </xf>
    <xf numFmtId="0" fontId="76" fillId="0" borderId="0" xfId="0" applyFont="1" applyAlignment="1">
      <alignment horizontal="right" vertical="top" wrapText="1"/>
    </xf>
    <xf numFmtId="0" fontId="20" fillId="0" borderId="0" xfId="0" applyFont="1" applyAlignment="1">
      <alignment horizontal="left" vertical="top" wrapText="1"/>
    </xf>
    <xf numFmtId="0" fontId="77" fillId="0" borderId="0" xfId="0" applyFont="1" applyAlignment="1">
      <alignment horizontal="left" vertical="top" wrapText="1"/>
    </xf>
    <xf numFmtId="0" fontId="9" fillId="0" borderId="1" xfId="0" applyFont="1" applyBorder="1" applyAlignment="1">
      <alignment vertical="top" wrapText="1"/>
    </xf>
    <xf numFmtId="0" fontId="19" fillId="0" borderId="0" xfId="0" applyFont="1" applyAlignment="1">
      <alignment vertical="top" wrapText="1"/>
    </xf>
    <xf numFmtId="0" fontId="3" fillId="0" borderId="0" xfId="1" applyFill="1" applyBorder="1" applyAlignment="1">
      <alignment horizontal="center" vertical="top" wrapText="1"/>
    </xf>
    <xf numFmtId="0" fontId="20" fillId="9" borderId="1" xfId="0" applyFont="1" applyFill="1" applyBorder="1" applyAlignment="1">
      <alignment vertical="top" wrapText="1"/>
    </xf>
    <xf numFmtId="0" fontId="9" fillId="0" borderId="0" xfId="0" applyFont="1" applyAlignment="1">
      <alignment horizontal="center" vertical="center" wrapText="1"/>
    </xf>
    <xf numFmtId="0" fontId="57" fillId="13" borderId="1" xfId="0" applyFont="1" applyFill="1" applyBorder="1" applyAlignment="1">
      <alignment vertical="top" wrapText="1"/>
    </xf>
    <xf numFmtId="0" fontId="57" fillId="9" borderId="1" xfId="0" applyFont="1" applyFill="1" applyBorder="1" applyAlignment="1">
      <alignment vertical="top" wrapText="1"/>
    </xf>
    <xf numFmtId="0" fontId="9" fillId="0" borderId="1" xfId="0" applyFont="1" applyBorder="1" applyAlignment="1">
      <alignment horizontal="center" vertical="center" wrapText="1"/>
    </xf>
    <xf numFmtId="0" fontId="9" fillId="13" borderId="1" xfId="0" applyFont="1" applyFill="1" applyBorder="1" applyAlignment="1">
      <alignment vertical="top" wrapText="1"/>
    </xf>
    <xf numFmtId="0" fontId="0" fillId="0" borderId="0" xfId="0" applyAlignment="1">
      <alignment horizontal="right" vertical="top" wrapText="1"/>
    </xf>
    <xf numFmtId="0" fontId="78" fillId="0" borderId="0" xfId="0" applyFont="1"/>
    <xf numFmtId="0" fontId="1" fillId="0" borderId="0" xfId="1" applyFont="1" applyFill="1" applyBorder="1" applyAlignment="1" applyProtection="1">
      <alignment horizontal="left" vertical="center"/>
      <protection locked="0"/>
    </xf>
    <xf numFmtId="0" fontId="78" fillId="0" borderId="0" xfId="0" applyFont="1" applyAlignment="1">
      <alignment horizontal="center" vertical="center"/>
    </xf>
    <xf numFmtId="0" fontId="6" fillId="0" borderId="0" xfId="0" applyFont="1" applyAlignment="1">
      <alignment horizontal="right" vertical="center" wrapText="1"/>
    </xf>
    <xf numFmtId="0" fontId="16" fillId="0" borderId="0" xfId="0" applyFont="1" applyAlignment="1">
      <alignment horizontal="left" vertical="top" wrapText="1"/>
    </xf>
    <xf numFmtId="0" fontId="44" fillId="0" borderId="0" xfId="0" applyFont="1" applyAlignment="1" applyProtection="1">
      <alignment horizontal="left" vertical="center" wrapText="1"/>
      <protection locked="0"/>
    </xf>
    <xf numFmtId="0" fontId="12" fillId="0" borderId="0" xfId="0" applyFont="1" applyAlignment="1">
      <alignment horizontal="center" vertical="center" wrapText="1"/>
    </xf>
    <xf numFmtId="0" fontId="20" fillId="0" borderId="0" xfId="0" applyFont="1" applyAlignment="1">
      <alignment vertical="center"/>
    </xf>
    <xf numFmtId="0" fontId="79" fillId="0" borderId="0" xfId="0" applyFont="1" applyAlignment="1">
      <alignment vertical="center"/>
    </xf>
    <xf numFmtId="0" fontId="50" fillId="12" borderId="74" xfId="0" applyFont="1" applyFill="1" applyBorder="1" applyAlignment="1">
      <alignment horizontal="center" vertical="center" wrapText="1"/>
    </xf>
    <xf numFmtId="0" fontId="1" fillId="39" borderId="29" xfId="0" applyFont="1" applyFill="1" applyBorder="1" applyAlignment="1">
      <alignment vertical="top" wrapText="1"/>
    </xf>
    <xf numFmtId="0" fontId="57" fillId="39" borderId="1" xfId="0" applyFont="1" applyFill="1" applyBorder="1" applyAlignment="1">
      <alignment vertical="top" wrapText="1"/>
    </xf>
    <xf numFmtId="0" fontId="2" fillId="0" borderId="2" xfId="0" applyFont="1" applyBorder="1" applyAlignment="1" applyProtection="1">
      <alignment horizontal="left" vertical="center"/>
      <protection locked="0"/>
    </xf>
    <xf numFmtId="0" fontId="82" fillId="8" borderId="36" xfId="1" applyFont="1" applyFill="1" applyBorder="1" applyAlignment="1">
      <alignment vertical="top" wrapText="1"/>
    </xf>
    <xf numFmtId="0" fontId="82" fillId="0" borderId="36" xfId="1" applyFont="1" applyFill="1" applyBorder="1" applyAlignment="1">
      <alignment vertical="top" wrapText="1"/>
    </xf>
    <xf numFmtId="0" fontId="81" fillId="12" borderId="35" xfId="1" applyFont="1" applyFill="1" applyBorder="1" applyAlignment="1">
      <alignment vertical="top" wrapText="1"/>
    </xf>
    <xf numFmtId="0" fontId="81" fillId="0" borderId="0" xfId="1" applyFont="1" applyAlignment="1">
      <alignment vertical="top" wrapText="1"/>
    </xf>
    <xf numFmtId="0" fontId="81" fillId="9" borderId="33" xfId="1" applyFont="1" applyFill="1" applyBorder="1" applyAlignment="1">
      <alignment vertical="top" wrapText="1"/>
    </xf>
    <xf numFmtId="0" fontId="82" fillId="8" borderId="34" xfId="1" applyFont="1" applyFill="1" applyBorder="1" applyAlignment="1">
      <alignment vertical="top" wrapText="1"/>
    </xf>
    <xf numFmtId="0" fontId="81" fillId="9" borderId="35" xfId="1" applyFont="1" applyFill="1" applyBorder="1" applyAlignment="1">
      <alignment vertical="top" wrapText="1"/>
    </xf>
    <xf numFmtId="7" fontId="70" fillId="40" borderId="41" xfId="0" applyNumberFormat="1" applyFont="1" applyFill="1" applyBorder="1" applyAlignment="1">
      <alignment vertical="center"/>
    </xf>
    <xf numFmtId="7" fontId="0" fillId="0" borderId="0" xfId="0" applyNumberFormat="1" applyAlignment="1">
      <alignment vertical="center"/>
    </xf>
    <xf numFmtId="0" fontId="48" fillId="3" borderId="7" xfId="1" applyFont="1" applyFill="1" applyBorder="1" applyAlignment="1">
      <alignment vertical="center"/>
    </xf>
    <xf numFmtId="0" fontId="1" fillId="3" borderId="5" xfId="0" applyFont="1" applyFill="1" applyBorder="1" applyAlignment="1">
      <alignment vertical="center"/>
    </xf>
    <xf numFmtId="0" fontId="0" fillId="3" borderId="5" xfId="0" applyFill="1" applyBorder="1" applyAlignment="1">
      <alignment horizontal="left" vertical="center"/>
    </xf>
    <xf numFmtId="3" fontId="16" fillId="12" borderId="14" xfId="0" applyNumberFormat="1" applyFont="1" applyFill="1" applyBorder="1" applyAlignment="1" applyProtection="1">
      <alignment horizontal="left" vertical="center"/>
      <protection locked="0"/>
    </xf>
    <xf numFmtId="0" fontId="27" fillId="22" borderId="14" xfId="0" applyFont="1" applyFill="1" applyBorder="1" applyAlignment="1">
      <alignment horizontal="right" vertical="center"/>
    </xf>
    <xf numFmtId="3" fontId="16" fillId="12" borderId="13" xfId="0" applyNumberFormat="1" applyFont="1" applyFill="1" applyBorder="1" applyAlignment="1" applyProtection="1">
      <alignment horizontal="center" vertical="center"/>
      <protection locked="0"/>
    </xf>
    <xf numFmtId="0" fontId="65" fillId="12" borderId="84" xfId="0" applyFont="1" applyFill="1" applyBorder="1" applyAlignment="1" applyProtection="1">
      <alignment vertical="center" wrapText="1"/>
      <protection locked="0"/>
    </xf>
    <xf numFmtId="0" fontId="1" fillId="5" borderId="85" xfId="0" applyFont="1" applyFill="1" applyBorder="1" applyAlignment="1">
      <alignment vertical="center"/>
    </xf>
    <xf numFmtId="0" fontId="85" fillId="0" borderId="0" xfId="0" applyFont="1" applyAlignment="1">
      <alignment horizontal="center" vertical="center"/>
    </xf>
    <xf numFmtId="0" fontId="85" fillId="0" borderId="0" xfId="0" applyFont="1" applyAlignment="1">
      <alignment horizontal="center" vertical="top"/>
    </xf>
    <xf numFmtId="0" fontId="86" fillId="41" borderId="1" xfId="1" applyFont="1" applyFill="1" applyBorder="1" applyAlignment="1" applyProtection="1">
      <alignment horizontal="center" vertical="center"/>
    </xf>
    <xf numFmtId="7" fontId="16" fillId="12" borderId="84" xfId="0" applyNumberFormat="1" applyFont="1" applyFill="1" applyBorder="1" applyAlignment="1" applyProtection="1">
      <alignment horizontal="left" vertical="center"/>
      <protection locked="0"/>
    </xf>
    <xf numFmtId="0" fontId="89" fillId="0" borderId="0" xfId="0" applyFont="1" applyAlignment="1">
      <alignment horizontal="center" vertical="center"/>
    </xf>
    <xf numFmtId="0" fontId="90" fillId="0" borderId="0" xfId="0" applyFont="1" applyAlignment="1">
      <alignment horizontal="center" vertical="center"/>
    </xf>
    <xf numFmtId="3" fontId="89" fillId="0" borderId="0" xfId="0" applyNumberFormat="1" applyFont="1" applyAlignment="1">
      <alignment horizontal="center" vertical="center"/>
    </xf>
    <xf numFmtId="0" fontId="91" fillId="0" borderId="0" xfId="0" applyFont="1"/>
    <xf numFmtId="2" fontId="89" fillId="0" borderId="0" xfId="0" applyNumberFormat="1" applyFont="1" applyAlignment="1">
      <alignment horizontal="center" vertical="center" wrapText="1"/>
    </xf>
    <xf numFmtId="2" fontId="89" fillId="0" borderId="0" xfId="0" applyNumberFormat="1" applyFont="1" applyAlignment="1">
      <alignment horizontal="center" vertical="center"/>
    </xf>
    <xf numFmtId="7" fontId="89" fillId="0" borderId="0" xfId="0" applyNumberFormat="1" applyFont="1" applyAlignment="1">
      <alignment horizontal="center" vertical="center"/>
    </xf>
    <xf numFmtId="0" fontId="90" fillId="0" borderId="0" xfId="0" applyFont="1" applyAlignment="1">
      <alignment horizontal="center" vertical="top"/>
    </xf>
    <xf numFmtId="0" fontId="92" fillId="0" borderId="0" xfId="1" applyFont="1" applyAlignment="1">
      <alignment horizontal="center" vertical="center"/>
    </xf>
    <xf numFmtId="7" fontId="84" fillId="40" borderId="44" xfId="0" applyNumberFormat="1" applyFont="1" applyFill="1" applyBorder="1" applyAlignment="1">
      <alignment horizontal="right" vertical="center"/>
    </xf>
    <xf numFmtId="14" fontId="16" fillId="12" borderId="86" xfId="1" applyNumberFormat="1" applyFont="1" applyFill="1" applyBorder="1" applyAlignment="1" applyProtection="1">
      <alignment horizontal="center" vertical="center"/>
      <protection locked="0"/>
    </xf>
    <xf numFmtId="7" fontId="70" fillId="40" borderId="38" xfId="0" applyNumberFormat="1" applyFont="1" applyFill="1" applyBorder="1" applyAlignment="1">
      <alignment horizontal="center" vertical="center"/>
    </xf>
    <xf numFmtId="0" fontId="42" fillId="13" borderId="37" xfId="0" applyFont="1" applyFill="1" applyBorder="1" applyAlignment="1">
      <alignment horizontal="center" vertical="center"/>
    </xf>
    <xf numFmtId="0" fontId="42" fillId="13" borderId="82" xfId="0" applyFont="1" applyFill="1" applyBorder="1" applyAlignment="1">
      <alignment horizontal="center" vertical="center"/>
    </xf>
    <xf numFmtId="2" fontId="42" fillId="13" borderId="82" xfId="0" applyNumberFormat="1" applyFont="1" applyFill="1" applyBorder="1" applyAlignment="1">
      <alignment horizontal="center" vertical="center"/>
    </xf>
    <xf numFmtId="2" fontId="42" fillId="13" borderId="83" xfId="0" applyNumberFormat="1" applyFont="1" applyFill="1" applyBorder="1" applyAlignment="1">
      <alignment horizontal="center" vertical="center"/>
    </xf>
    <xf numFmtId="2" fontId="49" fillId="13" borderId="87" xfId="0" applyNumberFormat="1" applyFont="1" applyFill="1" applyBorder="1" applyAlignment="1">
      <alignment horizontal="center" vertical="center"/>
    </xf>
    <xf numFmtId="2" fontId="49" fillId="13" borderId="83" xfId="0" applyNumberFormat="1" applyFont="1" applyFill="1" applyBorder="1" applyAlignment="1">
      <alignment horizontal="center" vertical="center"/>
    </xf>
    <xf numFmtId="0" fontId="1" fillId="5" borderId="89" xfId="0" applyFont="1" applyFill="1" applyBorder="1" applyAlignment="1">
      <alignment vertical="center"/>
    </xf>
    <xf numFmtId="7" fontId="27" fillId="22" borderId="9" xfId="1" applyNumberFormat="1" applyFont="1" applyFill="1" applyBorder="1" applyAlignment="1" applyProtection="1">
      <alignment horizontal="right" vertical="center"/>
    </xf>
    <xf numFmtId="7" fontId="27" fillId="22" borderId="11" xfId="0" applyNumberFormat="1" applyFont="1" applyFill="1" applyBorder="1" applyAlignment="1">
      <alignment horizontal="right" vertical="center"/>
    </xf>
    <xf numFmtId="14" fontId="42" fillId="12" borderId="10" xfId="1" applyNumberFormat="1" applyFont="1" applyFill="1" applyBorder="1" applyAlignment="1" applyProtection="1">
      <alignment horizontal="center" vertical="center"/>
      <protection locked="0"/>
    </xf>
    <xf numFmtId="7" fontId="27" fillId="22" borderId="9" xfId="0" applyNumberFormat="1" applyFont="1" applyFill="1" applyBorder="1" applyAlignment="1">
      <alignment horizontal="right" vertical="center"/>
    </xf>
    <xf numFmtId="14" fontId="42" fillId="12" borderId="11" xfId="1" applyNumberFormat="1" applyFont="1" applyFill="1" applyBorder="1" applyAlignment="1" applyProtection="1">
      <alignment horizontal="center" vertical="center"/>
      <protection locked="0"/>
    </xf>
    <xf numFmtId="0" fontId="17" fillId="0" borderId="0" xfId="0" applyFont="1" applyAlignment="1">
      <alignment horizontal="left" vertical="top" wrapText="1"/>
    </xf>
    <xf numFmtId="0" fontId="10" fillId="22" borderId="0" xfId="0" applyFont="1" applyFill="1" applyAlignment="1">
      <alignment horizontal="left"/>
    </xf>
    <xf numFmtId="165" fontId="19" fillId="0" borderId="0" xfId="0" applyNumberFormat="1" applyFont="1" applyAlignment="1">
      <alignment horizontal="left" vertical="top" wrapText="1"/>
    </xf>
    <xf numFmtId="14" fontId="19" fillId="0" borderId="0" xfId="0" applyNumberFormat="1" applyFont="1" applyAlignment="1">
      <alignment horizontal="left" vertical="top" wrapText="1"/>
    </xf>
    <xf numFmtId="3" fontId="19" fillId="0" borderId="0" xfId="0" applyNumberFormat="1" applyFont="1" applyAlignment="1">
      <alignment horizontal="left" vertical="top" wrapText="1"/>
    </xf>
    <xf numFmtId="0" fontId="3" fillId="0" borderId="0" xfId="1" applyNumberFormat="1" applyBorder="1" applyAlignment="1">
      <alignment horizontal="left" vertical="top" wrapText="1"/>
    </xf>
    <xf numFmtId="0" fontId="19" fillId="22" borderId="0" xfId="0" applyFont="1" applyFill="1" applyAlignment="1">
      <alignment horizontal="left" vertical="top" wrapText="1"/>
    </xf>
    <xf numFmtId="0" fontId="22" fillId="0" borderId="0" xfId="0" applyFont="1" applyAlignment="1" applyProtection="1">
      <alignment horizontal="left" vertical="top" wrapText="1"/>
      <protection locked="0"/>
    </xf>
    <xf numFmtId="0" fontId="73" fillId="0" borderId="0" xfId="0" applyFont="1" applyAlignment="1" applyProtection="1">
      <alignment horizontal="left" vertical="center" wrapText="1"/>
      <protection locked="0"/>
    </xf>
    <xf numFmtId="0" fontId="10" fillId="22" borderId="0" xfId="0" applyFont="1" applyFill="1" applyAlignment="1">
      <alignment horizontal="left" vertical="top" wrapText="1"/>
    </xf>
    <xf numFmtId="0" fontId="69" fillId="0" borderId="0" xfId="0" applyFont="1" applyAlignment="1">
      <alignment horizontal="left" vertical="center" wrapText="1"/>
    </xf>
    <xf numFmtId="0" fontId="93" fillId="0" borderId="0" xfId="0" applyFont="1"/>
    <xf numFmtId="0" fontId="93" fillId="0" borderId="0" xfId="0" quotePrefix="1" applyFont="1"/>
    <xf numFmtId="0" fontId="89" fillId="0" borderId="0" xfId="0" quotePrefix="1" applyFont="1" applyAlignment="1">
      <alignment horizontal="center" vertical="center"/>
    </xf>
    <xf numFmtId="2" fontId="89" fillId="0" borderId="0" xfId="0" quotePrefix="1" applyNumberFormat="1" applyFont="1" applyAlignment="1">
      <alignment horizontal="center" vertical="center"/>
    </xf>
    <xf numFmtId="0" fontId="21" fillId="0" borderId="0" xfId="0" applyFont="1" applyAlignment="1">
      <alignment vertical="center" wrapText="1"/>
    </xf>
    <xf numFmtId="0" fontId="20" fillId="24" borderId="92" xfId="0" applyFont="1" applyFill="1" applyBorder="1" applyAlignment="1">
      <alignment vertical="top" wrapText="1"/>
    </xf>
    <xf numFmtId="0" fontId="19" fillId="0" borderId="93" xfId="0" applyFont="1" applyBorder="1" applyAlignment="1">
      <alignment horizontal="left" vertical="top" wrapText="1"/>
    </xf>
    <xf numFmtId="165" fontId="19" fillId="0" borderId="93" xfId="0" applyNumberFormat="1" applyFont="1" applyBorder="1" applyAlignment="1">
      <alignment horizontal="left" vertical="top" wrapText="1"/>
    </xf>
    <xf numFmtId="14" fontId="19" fillId="0" borderId="93" xfId="0" applyNumberFormat="1" applyFont="1" applyBorder="1" applyAlignment="1">
      <alignment horizontal="left" vertical="top" wrapText="1"/>
    </xf>
    <xf numFmtId="3" fontId="19" fillId="0" borderId="93" xfId="0" applyNumberFormat="1" applyFont="1" applyBorder="1" applyAlignment="1">
      <alignment horizontal="left" vertical="top" wrapText="1"/>
    </xf>
    <xf numFmtId="0" fontId="3" fillId="0" borderId="93" xfId="1" applyNumberFormat="1" applyBorder="1" applyAlignment="1">
      <alignment horizontal="left" vertical="top" wrapText="1"/>
    </xf>
    <xf numFmtId="0" fontId="10" fillId="22" borderId="53" xfId="0" applyFont="1" applyFill="1" applyBorder="1" applyAlignment="1">
      <alignment vertical="top" wrapText="1"/>
    </xf>
    <xf numFmtId="0" fontId="19" fillId="22" borderId="31" xfId="0" applyFont="1" applyFill="1" applyBorder="1" applyAlignment="1">
      <alignment horizontal="left" vertical="top" wrapText="1"/>
    </xf>
    <xf numFmtId="0" fontId="22" fillId="0" borderId="95" xfId="0" applyFont="1" applyBorder="1" applyAlignment="1" applyProtection="1">
      <alignment horizontal="left" vertical="top" wrapText="1"/>
      <protection locked="0"/>
    </xf>
    <xf numFmtId="0" fontId="73" fillId="0" borderId="96" xfId="0" applyFont="1" applyBorder="1" applyAlignment="1" applyProtection="1">
      <alignment horizontal="left" vertical="center" wrapText="1"/>
      <protection locked="0"/>
    </xf>
    <xf numFmtId="0" fontId="73" fillId="0" borderId="98" xfId="0" applyFont="1" applyBorder="1" applyAlignment="1" applyProtection="1">
      <alignment horizontal="left" vertical="center" wrapText="1"/>
      <protection locked="0"/>
    </xf>
    <xf numFmtId="0" fontId="3" fillId="8" borderId="36" xfId="1" applyFill="1" applyBorder="1" applyAlignment="1">
      <alignment vertical="top" wrapText="1"/>
    </xf>
    <xf numFmtId="0" fontId="3" fillId="12" borderId="35" xfId="1" applyFill="1" applyBorder="1" applyAlignment="1">
      <alignment vertical="top" wrapText="1"/>
    </xf>
    <xf numFmtId="0" fontId="5" fillId="5" borderId="3" xfId="1" applyFont="1" applyFill="1" applyBorder="1" applyAlignment="1" applyProtection="1">
      <alignment vertical="center"/>
    </xf>
    <xf numFmtId="0" fontId="15" fillId="11" borderId="0" xfId="0" applyFont="1" applyFill="1" applyAlignment="1">
      <alignment vertical="top"/>
    </xf>
    <xf numFmtId="0" fontId="1" fillId="11" borderId="0" xfId="0" applyFont="1" applyFill="1" applyAlignment="1">
      <alignment vertical="top" wrapText="1"/>
    </xf>
    <xf numFmtId="0" fontId="1" fillId="3" borderId="2" xfId="0" applyFont="1" applyFill="1" applyBorder="1" applyAlignment="1">
      <alignment vertical="center"/>
    </xf>
    <xf numFmtId="0" fontId="1" fillId="22" borderId="0" xfId="0" applyFont="1" applyFill="1" applyAlignment="1">
      <alignment vertical="center"/>
    </xf>
    <xf numFmtId="0" fontId="4" fillId="5" borderId="11" xfId="0" applyFont="1" applyFill="1" applyBorder="1" applyAlignment="1">
      <alignment horizontal="center" vertical="center"/>
    </xf>
    <xf numFmtId="166" fontId="16" fillId="5" borderId="10" xfId="0" applyNumberFormat="1" applyFont="1" applyFill="1" applyBorder="1" applyAlignment="1">
      <alignment vertical="center"/>
    </xf>
    <xf numFmtId="0" fontId="6" fillId="22" borderId="64" xfId="0" applyFont="1" applyFill="1" applyBorder="1" applyAlignment="1">
      <alignment horizontal="right" vertical="center" wrapText="1"/>
    </xf>
    <xf numFmtId="0" fontId="0" fillId="12" borderId="88" xfId="0" applyFill="1" applyBorder="1" applyAlignment="1" applyProtection="1">
      <alignment horizontal="left" vertical="center" wrapText="1"/>
      <protection locked="0"/>
    </xf>
    <xf numFmtId="14" fontId="57" fillId="12" borderId="107" xfId="1" applyNumberFormat="1" applyFont="1" applyFill="1" applyBorder="1" applyAlignment="1" applyProtection="1">
      <alignment horizontal="left" vertical="center" wrapText="1"/>
      <protection locked="0"/>
    </xf>
    <xf numFmtId="0" fontId="6" fillId="42" borderId="68" xfId="0" applyFont="1" applyFill="1" applyBorder="1" applyAlignment="1">
      <alignment horizontal="right" vertical="center" wrapText="1"/>
    </xf>
    <xf numFmtId="0" fontId="0" fillId="12" borderId="102" xfId="0" applyFill="1" applyBorder="1" applyAlignment="1" applyProtection="1">
      <alignment horizontal="left" vertical="center" wrapText="1"/>
      <protection locked="0"/>
    </xf>
    <xf numFmtId="0" fontId="6" fillId="5" borderId="106" xfId="0" applyFont="1" applyFill="1" applyBorder="1" applyAlignment="1">
      <alignment horizontal="right" vertical="center" wrapText="1"/>
    </xf>
    <xf numFmtId="0" fontId="0" fillId="5" borderId="13" xfId="0" applyFill="1" applyBorder="1" applyAlignment="1" applyProtection="1">
      <alignment horizontal="left" vertical="center" wrapText="1"/>
      <protection locked="0"/>
    </xf>
    <xf numFmtId="0" fontId="96" fillId="22" borderId="102" xfId="1" applyFont="1" applyFill="1" applyBorder="1" applyAlignment="1" applyProtection="1">
      <alignment horizontal="right" vertical="center"/>
    </xf>
    <xf numFmtId="0" fontId="97" fillId="5" borderId="106" xfId="0" applyFont="1" applyFill="1" applyBorder="1" applyAlignment="1">
      <alignment horizontal="center" vertical="center"/>
    </xf>
    <xf numFmtId="0" fontId="96" fillId="22" borderId="68" xfId="1" applyFont="1" applyFill="1" applyBorder="1" applyAlignment="1" applyProtection="1">
      <alignment horizontal="right" vertical="center"/>
    </xf>
    <xf numFmtId="0" fontId="16" fillId="5" borderId="13" xfId="0" applyFont="1" applyFill="1" applyBorder="1" applyAlignment="1">
      <alignment horizontal="center" vertical="center"/>
    </xf>
    <xf numFmtId="166" fontId="4" fillId="5" borderId="106" xfId="0" applyNumberFormat="1" applyFont="1" applyFill="1" applyBorder="1" applyAlignment="1">
      <alignment horizontal="center" vertical="center"/>
    </xf>
    <xf numFmtId="0" fontId="4" fillId="5" borderId="106" xfId="0" applyFont="1" applyFill="1" applyBorder="1" applyAlignment="1">
      <alignment horizontal="center" vertical="center"/>
    </xf>
    <xf numFmtId="166" fontId="16" fillId="5" borderId="13" xfId="0" applyNumberFormat="1" applyFont="1" applyFill="1" applyBorder="1" applyAlignment="1">
      <alignment vertical="center"/>
    </xf>
    <xf numFmtId="0" fontId="96" fillId="22" borderId="102" xfId="1" applyFont="1" applyFill="1" applyBorder="1" applyAlignment="1">
      <alignment horizontal="right" vertical="center"/>
    </xf>
    <xf numFmtId="0" fontId="16" fillId="5" borderId="106" xfId="0" applyFont="1" applyFill="1" applyBorder="1" applyAlignment="1">
      <alignment vertical="center"/>
    </xf>
    <xf numFmtId="0" fontId="16" fillId="5" borderId="13" xfId="0" applyFont="1" applyFill="1" applyBorder="1" applyAlignment="1">
      <alignment vertical="center"/>
    </xf>
    <xf numFmtId="0" fontId="6" fillId="5" borderId="108" xfId="0" applyFont="1" applyFill="1" applyBorder="1" applyAlignment="1">
      <alignment horizontal="right" vertical="center" wrapText="1"/>
    </xf>
    <xf numFmtId="14" fontId="42" fillId="5" borderId="108" xfId="1" applyNumberFormat="1" applyFont="1" applyFill="1" applyBorder="1" applyAlignment="1" applyProtection="1">
      <alignment horizontal="center" vertical="center"/>
      <protection locked="0"/>
    </xf>
    <xf numFmtId="7" fontId="8" fillId="22" borderId="11" xfId="0" applyNumberFormat="1" applyFont="1" applyFill="1" applyBorder="1" applyAlignment="1">
      <alignment horizontal="right" vertical="center"/>
    </xf>
    <xf numFmtId="7" fontId="8" fillId="22" borderId="106" xfId="0" applyNumberFormat="1" applyFont="1" applyFill="1" applyBorder="1" applyAlignment="1">
      <alignment horizontal="right" vertical="center"/>
    </xf>
    <xf numFmtId="0" fontId="18" fillId="0" borderId="106" xfId="0" applyFont="1" applyBorder="1" applyAlignment="1">
      <alignment horizontal="right" vertical="center"/>
    </xf>
    <xf numFmtId="0" fontId="16" fillId="12" borderId="14" xfId="0" applyFont="1" applyFill="1" applyBorder="1" applyAlignment="1" applyProtection="1">
      <alignment vertical="center"/>
      <protection locked="0"/>
    </xf>
    <xf numFmtId="0" fontId="16" fillId="5" borderId="16" xfId="0" applyFont="1" applyFill="1" applyBorder="1" applyAlignment="1">
      <alignment vertical="center"/>
    </xf>
    <xf numFmtId="0" fontId="16" fillId="5" borderId="15" xfId="0" applyFont="1" applyFill="1" applyBorder="1" applyAlignment="1">
      <alignment vertical="center"/>
    </xf>
    <xf numFmtId="0" fontId="41" fillId="3" borderId="6" xfId="1" applyFont="1" applyFill="1" applyBorder="1" applyAlignment="1">
      <alignment vertical="center"/>
    </xf>
    <xf numFmtId="0" fontId="48" fillId="3" borderId="6" xfId="1" applyFont="1" applyFill="1" applyBorder="1" applyAlignment="1">
      <alignment vertical="center"/>
    </xf>
    <xf numFmtId="0" fontId="52" fillId="3" borderId="6" xfId="1" applyFont="1" applyFill="1" applyBorder="1" applyAlignment="1">
      <alignment vertical="center" wrapText="1"/>
    </xf>
    <xf numFmtId="0" fontId="1" fillId="3" borderId="5" xfId="1" applyFont="1" applyFill="1" applyBorder="1" applyAlignment="1">
      <alignment horizontal="left" vertical="center"/>
    </xf>
    <xf numFmtId="7" fontId="8" fillId="22" borderId="85" xfId="0" applyNumberFormat="1" applyFont="1" applyFill="1" applyBorder="1" applyAlignment="1">
      <alignment horizontal="right" vertical="center"/>
    </xf>
    <xf numFmtId="0" fontId="95" fillId="0" borderId="85" xfId="1" applyFont="1" applyFill="1" applyBorder="1" applyAlignment="1" applyProtection="1">
      <alignment vertical="center" wrapText="1"/>
    </xf>
    <xf numFmtId="7" fontId="8" fillId="22" borderId="113" xfId="0" applyNumberFormat="1" applyFont="1" applyFill="1" applyBorder="1" applyAlignment="1">
      <alignment horizontal="right" vertical="center"/>
    </xf>
    <xf numFmtId="0" fontId="80" fillId="0" borderId="106" xfId="0" applyFont="1" applyBorder="1" applyAlignment="1">
      <alignment horizontal="right" vertical="center" wrapText="1"/>
    </xf>
    <xf numFmtId="7" fontId="27" fillId="22" borderId="84" xfId="1" applyNumberFormat="1" applyFont="1" applyFill="1" applyBorder="1" applyAlignment="1" applyProtection="1">
      <alignment horizontal="right" vertical="center"/>
    </xf>
    <xf numFmtId="14" fontId="49" fillId="12" borderId="89" xfId="1" applyNumberFormat="1" applyFont="1" applyFill="1" applyBorder="1" applyAlignment="1" applyProtection="1">
      <alignment horizontal="center" vertical="center"/>
      <protection locked="0"/>
    </xf>
    <xf numFmtId="7" fontId="27" fillId="22" borderId="85" xfId="0" applyNumberFormat="1" applyFont="1" applyFill="1" applyBorder="1" applyAlignment="1">
      <alignment horizontal="right" vertical="center"/>
    </xf>
    <xf numFmtId="14" fontId="42" fillId="12" borderId="89" xfId="1" applyNumberFormat="1" applyFont="1" applyFill="1" applyBorder="1" applyAlignment="1" applyProtection="1">
      <alignment horizontal="center" vertical="center"/>
      <protection locked="0"/>
    </xf>
    <xf numFmtId="7" fontId="27" fillId="22" borderId="84" xfId="0" applyNumberFormat="1" applyFont="1" applyFill="1" applyBorder="1" applyAlignment="1">
      <alignment horizontal="right" vertical="center"/>
    </xf>
    <xf numFmtId="14" fontId="42" fillId="12" borderId="85" xfId="1" applyNumberFormat="1" applyFont="1" applyFill="1" applyBorder="1" applyAlignment="1" applyProtection="1">
      <alignment horizontal="center" vertical="center"/>
      <protection locked="0"/>
    </xf>
    <xf numFmtId="7" fontId="27" fillId="22" borderId="115" xfId="0" applyNumberFormat="1" applyFont="1" applyFill="1" applyBorder="1" applyAlignment="1">
      <alignment horizontal="right" vertical="center"/>
    </xf>
    <xf numFmtId="7" fontId="27" fillId="22" borderId="89" xfId="0" applyNumberFormat="1" applyFont="1" applyFill="1" applyBorder="1" applyAlignment="1">
      <alignment horizontal="right" vertical="center"/>
    </xf>
    <xf numFmtId="3" fontId="16" fillId="12" borderId="16" xfId="0" applyNumberFormat="1" applyFont="1" applyFill="1" applyBorder="1" applyAlignment="1" applyProtection="1">
      <alignment horizontal="center" vertical="center"/>
      <protection locked="0"/>
    </xf>
    <xf numFmtId="7" fontId="70" fillId="40" borderId="116" xfId="0" applyNumberFormat="1" applyFont="1" applyFill="1" applyBorder="1" applyAlignment="1">
      <alignment horizontal="center" vertical="center" wrapText="1"/>
    </xf>
    <xf numFmtId="0" fontId="70" fillId="40" borderId="41" xfId="0" applyFont="1" applyFill="1" applyBorder="1" applyAlignment="1">
      <alignment horizontal="center" vertical="center"/>
    </xf>
    <xf numFmtId="39" fontId="70" fillId="40" borderId="41" xfId="0" applyNumberFormat="1" applyFont="1" applyFill="1" applyBorder="1" applyAlignment="1">
      <alignment horizontal="center" vertical="center" wrapText="1"/>
    </xf>
    <xf numFmtId="39" fontId="70" fillId="40" borderId="38" xfId="0" applyNumberFormat="1" applyFont="1" applyFill="1" applyBorder="1" applyAlignment="1">
      <alignment horizontal="center" vertical="center" wrapText="1"/>
    </xf>
    <xf numFmtId="0" fontId="104" fillId="0" borderId="1" xfId="1" applyFont="1" applyBorder="1" applyAlignment="1" applyProtection="1">
      <alignment horizontal="center" vertical="center"/>
    </xf>
    <xf numFmtId="0" fontId="9" fillId="0" borderId="43" xfId="0" applyFont="1" applyBorder="1" applyAlignment="1" applyProtection="1">
      <alignment horizontal="center" vertical="center" wrapText="1"/>
      <protection locked="0"/>
    </xf>
    <xf numFmtId="0" fontId="41" fillId="0" borderId="4" xfId="0" applyFont="1" applyBorder="1" applyAlignment="1" applyProtection="1">
      <alignment horizontal="center" vertical="center"/>
      <protection locked="0"/>
    </xf>
    <xf numFmtId="0" fontId="2" fillId="0" borderId="59" xfId="0" applyFont="1" applyBorder="1" applyAlignment="1" applyProtection="1">
      <alignment horizontal="left" vertical="center"/>
      <protection locked="0"/>
    </xf>
    <xf numFmtId="0" fontId="9" fillId="0" borderId="117" xfId="0" applyFont="1" applyBorder="1" applyAlignment="1" applyProtection="1">
      <alignment horizontal="center" vertical="center" wrapText="1"/>
      <protection locked="0"/>
    </xf>
    <xf numFmtId="0" fontId="41" fillId="0" borderId="6" xfId="0" applyFont="1" applyBorder="1" applyAlignment="1" applyProtection="1">
      <alignment horizontal="center" vertical="center"/>
      <protection locked="0"/>
    </xf>
    <xf numFmtId="0" fontId="9" fillId="0" borderId="38" xfId="0" applyFont="1" applyBorder="1" applyAlignment="1" applyProtection="1">
      <alignment horizontal="center" vertical="center"/>
      <protection locked="0"/>
    </xf>
    <xf numFmtId="0" fontId="9" fillId="0" borderId="121" xfId="0" applyFont="1" applyBorder="1" applyAlignment="1" applyProtection="1">
      <alignment horizontal="center" vertical="center"/>
      <protection locked="0"/>
    </xf>
    <xf numFmtId="0" fontId="75" fillId="0" borderId="0" xfId="0" applyFont="1"/>
    <xf numFmtId="0" fontId="9" fillId="0" borderId="0" xfId="0" applyFont="1" applyAlignment="1">
      <alignment horizontal="left" vertical="center" wrapText="1"/>
    </xf>
    <xf numFmtId="0" fontId="0" fillId="0" borderId="0" xfId="0" applyAlignment="1">
      <alignment horizontal="left"/>
    </xf>
    <xf numFmtId="0" fontId="1" fillId="15" borderId="51" xfId="0" applyFont="1" applyFill="1" applyBorder="1" applyAlignment="1">
      <alignment vertical="center"/>
    </xf>
    <xf numFmtId="0" fontId="9" fillId="0" borderId="0" xfId="0" applyFont="1" applyAlignment="1">
      <alignment horizontal="left" vertical="center"/>
    </xf>
    <xf numFmtId="0" fontId="103" fillId="2" borderId="1" xfId="0" applyFont="1" applyFill="1" applyBorder="1" applyAlignment="1">
      <alignment horizontal="center" vertical="center"/>
    </xf>
    <xf numFmtId="0" fontId="1" fillId="7" borderId="51" xfId="0" applyFont="1" applyFill="1" applyBorder="1" applyAlignment="1">
      <alignment vertical="center"/>
    </xf>
    <xf numFmtId="0" fontId="75" fillId="0" borderId="1" xfId="0" applyFont="1" applyBorder="1" applyAlignment="1">
      <alignment horizontal="center" vertical="center"/>
    </xf>
    <xf numFmtId="0" fontId="1" fillId="16" borderId="51" xfId="0" applyFont="1" applyFill="1" applyBorder="1" applyAlignment="1">
      <alignment vertical="center"/>
    </xf>
    <xf numFmtId="0" fontId="0" fillId="0" borderId="0" xfId="0" applyAlignment="1">
      <alignment horizontal="center" vertical="center"/>
    </xf>
    <xf numFmtId="0" fontId="58" fillId="0" borderId="5" xfId="0" applyFont="1" applyBorder="1" applyAlignment="1">
      <alignment horizontal="center" vertical="center" wrapText="1"/>
    </xf>
    <xf numFmtId="0" fontId="58" fillId="0" borderId="0" xfId="0" applyFont="1" applyAlignment="1">
      <alignment horizontal="center" vertical="center" wrapText="1"/>
    </xf>
    <xf numFmtId="0" fontId="75" fillId="0" borderId="19" xfId="0" applyFont="1" applyBorder="1" applyAlignment="1">
      <alignment horizontal="center" vertical="center"/>
    </xf>
    <xf numFmtId="0" fontId="4" fillId="22" borderId="21" xfId="0" applyFont="1" applyFill="1" applyBorder="1" applyAlignment="1">
      <alignment horizontal="left" vertical="center"/>
    </xf>
    <xf numFmtId="0" fontId="71" fillId="22" borderId="33" xfId="0" applyFont="1" applyFill="1" applyBorder="1" applyAlignment="1">
      <alignment vertical="top" wrapText="1"/>
    </xf>
    <xf numFmtId="0" fontId="1" fillId="44" borderId="1" xfId="0" applyFont="1" applyFill="1" applyBorder="1" applyAlignment="1">
      <alignment vertical="center" wrapText="1"/>
    </xf>
    <xf numFmtId="0" fontId="100" fillId="0" borderId="0" xfId="0" applyFont="1" applyAlignment="1">
      <alignment horizontal="center"/>
    </xf>
    <xf numFmtId="0" fontId="50" fillId="9" borderId="51" xfId="0" applyFont="1" applyFill="1" applyBorder="1" applyAlignment="1">
      <alignment horizontal="right" vertical="center" wrapText="1"/>
    </xf>
    <xf numFmtId="0" fontId="100" fillId="0" borderId="0" xfId="0" applyFont="1"/>
    <xf numFmtId="0" fontId="10" fillId="3" borderId="120" xfId="0" applyFont="1" applyFill="1" applyBorder="1" applyAlignment="1">
      <alignment horizontal="right" vertical="center" wrapText="1"/>
    </xf>
    <xf numFmtId="0" fontId="102" fillId="0" borderId="0" xfId="0" applyFont="1"/>
    <xf numFmtId="0" fontId="106" fillId="40" borderId="0" xfId="0" applyFont="1" applyFill="1" applyAlignment="1">
      <alignment vertical="center"/>
    </xf>
    <xf numFmtId="0" fontId="102" fillId="40" borderId="0" xfId="0" applyFont="1" applyFill="1" applyAlignment="1">
      <alignment vertical="center"/>
    </xf>
    <xf numFmtId="0" fontId="0" fillId="40" borderId="0" xfId="0" applyFill="1" applyAlignment="1">
      <alignment vertical="center"/>
    </xf>
    <xf numFmtId="0" fontId="41" fillId="42" borderId="5" xfId="0" applyFont="1" applyFill="1" applyBorder="1" applyAlignment="1">
      <alignment vertical="center" wrapText="1"/>
    </xf>
    <xf numFmtId="0" fontId="75" fillId="0" borderId="2" xfId="0" applyFont="1" applyBorder="1" applyAlignment="1">
      <alignment horizontal="center" vertical="center"/>
    </xf>
    <xf numFmtId="0" fontId="6" fillId="42" borderId="0" xfId="0" applyFont="1" applyFill="1" applyAlignment="1">
      <alignment horizontal="center" vertical="center" wrapText="1"/>
    </xf>
    <xf numFmtId="0" fontId="0" fillId="0" borderId="44" xfId="0" applyBorder="1" applyAlignment="1" applyProtection="1">
      <alignment vertical="center"/>
      <protection locked="0"/>
      <extLst>
        <ext xmlns:xfpb="http://schemas.microsoft.com/office/spreadsheetml/2022/featurepropertybag" uri="{C7286773-470A-42A8-94C5-96B5CB345126}">
          <xfpb:xfComplement i="0"/>
        </ext>
      </extLst>
    </xf>
    <xf numFmtId="0" fontId="0" fillId="0" borderId="118" xfId="0" applyBorder="1" applyAlignment="1" applyProtection="1">
      <alignment vertical="center"/>
      <protection locked="0"/>
      <extLst>
        <ext xmlns:xfpb="http://schemas.microsoft.com/office/spreadsheetml/2022/featurepropertybag" uri="{C7286773-470A-42A8-94C5-96B5CB345126}">
          <xfpb:xfComplement i="0"/>
        </ext>
      </extLst>
    </xf>
    <xf numFmtId="0" fontId="100" fillId="12" borderId="0" xfId="0" applyFont="1" applyFill="1" applyAlignment="1">
      <alignment horizontal="center" vertical="center" wrapText="1"/>
    </xf>
    <xf numFmtId="0" fontId="100" fillId="12" borderId="0" xfId="0" applyFont="1" applyFill="1" applyAlignment="1">
      <alignment horizontal="center" vertical="center"/>
    </xf>
    <xf numFmtId="0" fontId="102" fillId="12" borderId="0" xfId="0" applyFont="1" applyFill="1"/>
    <xf numFmtId="0" fontId="100" fillId="12" borderId="0" xfId="0" applyFont="1" applyFill="1" applyAlignment="1">
      <alignment horizontal="left"/>
    </xf>
    <xf numFmtId="0" fontId="102" fillId="12" borderId="0" xfId="0" applyFont="1" applyFill="1" applyAlignment="1">
      <alignment vertical="center"/>
    </xf>
    <xf numFmtId="0" fontId="102" fillId="12" borderId="0" xfId="0" applyFont="1" applyFill="1" applyAlignment="1">
      <alignment horizontal="center" vertical="center"/>
    </xf>
    <xf numFmtId="0" fontId="100" fillId="12" borderId="79" xfId="0" applyFont="1" applyFill="1" applyBorder="1" applyAlignment="1">
      <alignment horizontal="center" vertical="center"/>
    </xf>
    <xf numFmtId="0" fontId="100" fillId="12" borderId="51" xfId="0" applyFont="1" applyFill="1" applyBorder="1" applyAlignment="1">
      <alignment horizontal="center" vertical="center"/>
    </xf>
    <xf numFmtId="0" fontId="100" fillId="12" borderId="80" xfId="0" applyFont="1" applyFill="1" applyBorder="1" applyAlignment="1">
      <alignment horizontal="center" vertical="center"/>
    </xf>
    <xf numFmtId="0" fontId="100" fillId="12" borderId="79" xfId="0" applyFont="1" applyFill="1" applyBorder="1" applyAlignment="1">
      <alignment horizontal="center" vertical="center" wrapText="1"/>
    </xf>
    <xf numFmtId="0" fontId="100" fillId="12" borderId="0" xfId="0" applyFont="1" applyFill="1" applyAlignment="1">
      <alignment horizontal="left" vertical="center" wrapText="1"/>
    </xf>
    <xf numFmtId="0" fontId="105" fillId="12" borderId="0" xfId="0" applyFont="1" applyFill="1" applyAlignment="1">
      <alignment horizontal="center" vertical="center" wrapText="1"/>
    </xf>
    <xf numFmtId="0" fontId="100" fillId="12" borderId="123" xfId="0" applyFont="1" applyFill="1" applyBorder="1" applyAlignment="1">
      <alignment horizontal="center" vertical="center"/>
    </xf>
    <xf numFmtId="0" fontId="100" fillId="12" borderId="124" xfId="0" applyFont="1" applyFill="1" applyBorder="1" applyAlignment="1">
      <alignment horizontal="center" vertical="center"/>
    </xf>
    <xf numFmtId="0" fontId="100" fillId="12" borderId="51" xfId="0" applyFont="1" applyFill="1" applyBorder="1" applyAlignment="1">
      <alignment horizontal="center" vertical="center" wrapText="1"/>
    </xf>
    <xf numFmtId="0" fontId="2" fillId="0" borderId="0" xfId="0" applyFont="1"/>
    <xf numFmtId="0" fontId="39" fillId="0" borderId="0" xfId="0" applyFont="1" applyAlignment="1">
      <alignment horizontal="center" vertical="center" wrapText="1"/>
    </xf>
    <xf numFmtId="0" fontId="12" fillId="0" borderId="0" xfId="0" applyFont="1" applyAlignment="1">
      <alignment horizontal="center" vertical="top" wrapText="1"/>
    </xf>
    <xf numFmtId="0" fontId="39" fillId="0" borderId="0" xfId="0" applyFont="1" applyAlignment="1">
      <alignment horizontal="center" vertical="top" wrapText="1"/>
    </xf>
    <xf numFmtId="49" fontId="39" fillId="0" borderId="0" xfId="0" applyNumberFormat="1" applyFont="1" applyAlignment="1">
      <alignment horizontal="center" vertical="top" wrapText="1"/>
    </xf>
    <xf numFmtId="0" fontId="10" fillId="3" borderId="2" xfId="0" applyFont="1" applyFill="1" applyBorder="1" applyAlignment="1">
      <alignment horizontal="center" vertical="center" wrapText="1"/>
    </xf>
    <xf numFmtId="0" fontId="10" fillId="3" borderId="42" xfId="0" applyFont="1" applyFill="1" applyBorder="1" applyAlignment="1">
      <alignment horizontal="center" vertical="center" wrapText="1"/>
    </xf>
    <xf numFmtId="0" fontId="6" fillId="3" borderId="45" xfId="0" applyFont="1" applyFill="1" applyBorder="1" applyAlignment="1">
      <alignment horizontal="center" vertical="center" wrapText="1"/>
    </xf>
    <xf numFmtId="0" fontId="6" fillId="3" borderId="46" xfId="0" applyFont="1" applyFill="1" applyBorder="1" applyAlignment="1">
      <alignment horizontal="center" vertical="center" wrapText="1"/>
    </xf>
    <xf numFmtId="0" fontId="6" fillId="3" borderId="44"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6" fillId="3" borderId="43" xfId="0" applyFont="1" applyFill="1" applyBorder="1" applyAlignment="1">
      <alignment horizontal="center" vertical="center" wrapText="1"/>
    </xf>
    <xf numFmtId="0" fontId="72" fillId="37" borderId="46" xfId="0" applyFont="1" applyFill="1" applyBorder="1" applyAlignment="1">
      <alignment horizontal="center" vertical="center" wrapText="1"/>
    </xf>
    <xf numFmtId="0" fontId="10" fillId="3" borderId="45" xfId="0" applyFont="1" applyFill="1" applyBorder="1" applyAlignment="1">
      <alignment horizontal="center" vertical="center" wrapText="1"/>
    </xf>
    <xf numFmtId="0" fontId="10" fillId="3" borderId="41" xfId="0" applyFont="1" applyFill="1" applyBorder="1" applyAlignment="1">
      <alignment horizontal="center" vertical="center" wrapText="1"/>
    </xf>
    <xf numFmtId="0" fontId="10" fillId="3" borderId="43" xfId="0" applyFont="1" applyFill="1" applyBorder="1" applyAlignment="1">
      <alignment horizontal="center" vertical="center" wrapText="1"/>
    </xf>
    <xf numFmtId="0" fontId="10" fillId="3" borderId="46" xfId="0" applyFont="1" applyFill="1" applyBorder="1" applyAlignment="1">
      <alignment horizontal="center" vertical="center" wrapText="1"/>
    </xf>
    <xf numFmtId="0" fontId="10" fillId="2" borderId="45" xfId="0" applyFont="1" applyFill="1" applyBorder="1" applyAlignment="1">
      <alignment horizontal="center" vertical="center" wrapText="1"/>
    </xf>
    <xf numFmtId="0" fontId="10" fillId="2" borderId="41" xfId="0" applyFont="1" applyFill="1" applyBorder="1" applyAlignment="1">
      <alignment horizontal="center" vertical="center" wrapText="1"/>
    </xf>
    <xf numFmtId="0" fontId="10" fillId="2" borderId="46" xfId="0" applyFont="1" applyFill="1" applyBorder="1" applyAlignment="1">
      <alignment horizontal="center" vertical="center" wrapText="1"/>
    </xf>
    <xf numFmtId="0" fontId="10" fillId="2" borderId="47" xfId="0" applyFont="1" applyFill="1" applyBorder="1" applyAlignment="1">
      <alignment horizontal="center" vertical="center" wrapText="1"/>
    </xf>
    <xf numFmtId="0" fontId="10" fillId="2" borderId="101" xfId="0" applyFont="1" applyFill="1" applyBorder="1" applyAlignment="1">
      <alignment horizontal="center" vertical="center" wrapText="1"/>
    </xf>
    <xf numFmtId="0" fontId="10" fillId="2" borderId="92" xfId="0" applyFont="1" applyFill="1" applyBorder="1" applyAlignment="1">
      <alignment horizontal="center" vertical="center" wrapText="1"/>
    </xf>
    <xf numFmtId="165" fontId="10" fillId="42" borderId="101" xfId="0" applyNumberFormat="1" applyFont="1" applyFill="1" applyBorder="1" applyAlignment="1">
      <alignment horizontal="center" vertical="center" wrapText="1"/>
    </xf>
    <xf numFmtId="0" fontId="10" fillId="2" borderId="48" xfId="0" applyFont="1" applyFill="1" applyBorder="1" applyAlignment="1">
      <alignment horizontal="center" vertical="center" wrapText="1"/>
    </xf>
    <xf numFmtId="0" fontId="10" fillId="2" borderId="104" xfId="0" applyFont="1" applyFill="1" applyBorder="1" applyAlignment="1">
      <alignment horizontal="center" vertical="center" wrapText="1"/>
    </xf>
    <xf numFmtId="0" fontId="10" fillId="10" borderId="61" xfId="0" applyFont="1" applyFill="1" applyBorder="1" applyAlignment="1">
      <alignment horizontal="center" vertical="center" wrapText="1"/>
    </xf>
    <xf numFmtId="0" fontId="10" fillId="10" borderId="62" xfId="0" applyFont="1" applyFill="1" applyBorder="1" applyAlignment="1">
      <alignment horizontal="center" vertical="center" wrapText="1"/>
    </xf>
    <xf numFmtId="0" fontId="10" fillId="10" borderId="63" xfId="0" applyFont="1" applyFill="1" applyBorder="1" applyAlignment="1">
      <alignment horizontal="center" vertical="center" wrapText="1"/>
    </xf>
    <xf numFmtId="0" fontId="10" fillId="2" borderId="0" xfId="0" applyFont="1" applyFill="1" applyAlignment="1">
      <alignment horizontal="center" vertical="center" wrapText="1"/>
    </xf>
    <xf numFmtId="49" fontId="10" fillId="2" borderId="0" xfId="0" applyNumberFormat="1" applyFont="1" applyFill="1" applyAlignment="1">
      <alignment horizontal="center" vertical="center" wrapText="1"/>
    </xf>
    <xf numFmtId="0" fontId="30" fillId="21" borderId="2" xfId="0" applyFont="1" applyFill="1" applyBorder="1" applyAlignment="1">
      <alignment horizontal="center" vertical="top" wrapText="1"/>
    </xf>
    <xf numFmtId="0" fontId="27" fillId="7" borderId="42" xfId="0" applyFont="1" applyFill="1" applyBorder="1" applyAlignment="1">
      <alignment vertical="top" wrapText="1"/>
    </xf>
    <xf numFmtId="0" fontId="49" fillId="29" borderId="42" xfId="0" applyFont="1" applyFill="1" applyBorder="1" applyAlignment="1">
      <alignment horizontal="left" vertical="top" wrapText="1"/>
    </xf>
    <xf numFmtId="0" fontId="50" fillId="30" borderId="45" xfId="0" applyFont="1" applyFill="1" applyBorder="1" applyAlignment="1">
      <alignment horizontal="left" vertical="top" wrapText="1"/>
    </xf>
    <xf numFmtId="0" fontId="17" fillId="0" borderId="46" xfId="0" applyFont="1" applyBorder="1" applyAlignment="1">
      <alignment horizontal="left" vertical="top" wrapText="1"/>
    </xf>
    <xf numFmtId="0" fontId="50" fillId="30" borderId="44" xfId="0" applyFont="1" applyFill="1" applyBorder="1" applyAlignment="1">
      <alignment horizontal="left" vertical="top" wrapText="1"/>
    </xf>
    <xf numFmtId="0" fontId="49" fillId="29" borderId="4" xfId="0" applyFont="1" applyFill="1" applyBorder="1" applyAlignment="1">
      <alignment horizontal="left" vertical="top" wrapText="1"/>
    </xf>
    <xf numFmtId="0" fontId="17" fillId="0" borderId="43" xfId="0" applyFont="1" applyBorder="1" applyAlignment="1">
      <alignment horizontal="left" vertical="top" wrapText="1"/>
    </xf>
    <xf numFmtId="0" fontId="17" fillId="0" borderId="41" xfId="0" applyFont="1" applyBorder="1" applyAlignment="1">
      <alignment horizontal="left" vertical="top" wrapText="1"/>
    </xf>
    <xf numFmtId="0" fontId="17" fillId="0" borderId="72" xfId="0" applyFont="1" applyBorder="1" applyAlignment="1">
      <alignment horizontal="left" vertical="top" wrapText="1"/>
    </xf>
    <xf numFmtId="0" fontId="17" fillId="0" borderId="4" xfId="0" applyFont="1" applyBorder="1" applyAlignment="1">
      <alignment horizontal="left" vertical="top" wrapText="1"/>
    </xf>
    <xf numFmtId="0" fontId="8" fillId="26" borderId="45" xfId="0" applyFont="1" applyFill="1" applyBorder="1" applyAlignment="1">
      <alignment horizontal="left" vertical="top" wrapText="1"/>
    </xf>
    <xf numFmtId="0" fontId="41" fillId="26" borderId="41" xfId="0" applyFont="1" applyFill="1" applyBorder="1" applyAlignment="1">
      <alignment horizontal="left" vertical="top" wrapText="1"/>
    </xf>
    <xf numFmtId="0" fontId="9" fillId="31" borderId="41" xfId="0" applyFont="1" applyFill="1" applyBorder="1" applyAlignment="1">
      <alignment horizontal="left" vertical="top" wrapText="1"/>
    </xf>
    <xf numFmtId="0" fontId="7" fillId="31" borderId="41" xfId="1" applyFont="1" applyFill="1" applyBorder="1" applyAlignment="1" applyProtection="1">
      <alignment horizontal="left" vertical="top" wrapText="1"/>
    </xf>
    <xf numFmtId="0" fontId="7" fillId="31" borderId="43" xfId="1" applyFont="1" applyFill="1" applyBorder="1" applyAlignment="1" applyProtection="1">
      <alignment horizontal="left" vertical="top" wrapText="1"/>
    </xf>
    <xf numFmtId="0" fontId="41" fillId="26" borderId="46" xfId="0" applyFont="1" applyFill="1" applyBorder="1" applyAlignment="1">
      <alignment horizontal="left" vertical="top" wrapText="1"/>
    </xf>
    <xf numFmtId="0" fontId="41" fillId="10" borderId="45" xfId="0" applyFont="1" applyFill="1" applyBorder="1" applyAlignment="1">
      <alignment horizontal="left" vertical="top" wrapText="1"/>
    </xf>
    <xf numFmtId="0" fontId="41" fillId="10" borderId="43" xfId="0" applyFont="1" applyFill="1" applyBorder="1" applyAlignment="1">
      <alignment horizontal="left" vertical="top" wrapText="1"/>
    </xf>
    <xf numFmtId="0" fontId="0" fillId="0" borderId="45" xfId="0" applyBorder="1" applyAlignment="1">
      <alignment vertical="top" wrapText="1"/>
    </xf>
    <xf numFmtId="0" fontId="0" fillId="0" borderId="41" xfId="0" applyBorder="1" applyAlignment="1">
      <alignment vertical="top" wrapText="1"/>
    </xf>
    <xf numFmtId="0" fontId="0" fillId="0" borderId="46" xfId="0" applyBorder="1" applyAlignment="1">
      <alignment vertical="top" wrapText="1"/>
    </xf>
    <xf numFmtId="0" fontId="0" fillId="0" borderId="47" xfId="0" applyBorder="1" applyAlignment="1">
      <alignment vertical="top" wrapText="1"/>
    </xf>
    <xf numFmtId="0" fontId="0" fillId="12" borderId="101" xfId="0" applyFill="1" applyBorder="1" applyAlignment="1">
      <alignment vertical="top" wrapText="1"/>
    </xf>
    <xf numFmtId="0" fontId="0" fillId="0" borderId="92" xfId="0" applyBorder="1" applyAlignment="1">
      <alignment horizontal="center" vertical="top" wrapText="1"/>
    </xf>
    <xf numFmtId="165" fontId="0" fillId="0" borderId="93" xfId="0" applyNumberFormat="1" applyBorder="1" applyAlignment="1">
      <alignment horizontal="center" vertical="top" wrapText="1"/>
    </xf>
    <xf numFmtId="0" fontId="0" fillId="12" borderId="0" xfId="0" applyFill="1" applyAlignment="1">
      <alignment vertical="top" wrapText="1"/>
    </xf>
    <xf numFmtId="0" fontId="0" fillId="0" borderId="60" xfId="0" applyBorder="1" applyAlignment="1">
      <alignment vertical="top" wrapText="1"/>
    </xf>
    <xf numFmtId="0" fontId="0" fillId="17" borderId="88" xfId="0" applyFill="1" applyBorder="1" applyAlignment="1">
      <alignment vertical="top" wrapText="1"/>
    </xf>
    <xf numFmtId="0" fontId="0" fillId="17" borderId="64" xfId="0" applyFill="1" applyBorder="1" applyAlignment="1">
      <alignment vertical="top" wrapText="1"/>
    </xf>
    <xf numFmtId="0" fontId="0" fillId="17" borderId="65" xfId="0" applyFill="1" applyBorder="1" applyAlignment="1">
      <alignment vertical="top" wrapText="1"/>
    </xf>
    <xf numFmtId="0" fontId="0" fillId="31" borderId="66" xfId="0" applyFill="1" applyBorder="1" applyAlignment="1">
      <alignment vertical="top" wrapText="1"/>
    </xf>
    <xf numFmtId="49" fontId="87" fillId="0" borderId="1" xfId="1" applyNumberFormat="1" applyFont="1" applyFill="1" applyBorder="1" applyAlignment="1" applyProtection="1">
      <alignment horizontal="center" vertical="center"/>
    </xf>
    <xf numFmtId="0" fontId="30" fillId="10" borderId="2" xfId="0" applyFont="1" applyFill="1" applyBorder="1" applyAlignment="1">
      <alignment horizontal="center" vertical="top" wrapText="1"/>
    </xf>
    <xf numFmtId="0" fontId="1" fillId="7" borderId="42" xfId="0" applyFont="1" applyFill="1" applyBorder="1" applyAlignment="1">
      <alignment vertical="top" wrapText="1"/>
    </xf>
    <xf numFmtId="0" fontId="42" fillId="29" borderId="42" xfId="0" applyFont="1" applyFill="1" applyBorder="1" applyAlignment="1">
      <alignment vertical="top" wrapText="1"/>
    </xf>
    <xf numFmtId="0" fontId="57" fillId="30" borderId="45" xfId="0" applyFont="1" applyFill="1" applyBorder="1" applyAlignment="1">
      <alignment horizontal="left" vertical="top" wrapText="1"/>
    </xf>
    <xf numFmtId="0" fontId="57" fillId="30" borderId="44" xfId="0" applyFont="1" applyFill="1" applyBorder="1" applyAlignment="1">
      <alignment horizontal="left" vertical="top" wrapText="1"/>
    </xf>
    <xf numFmtId="0" fontId="9" fillId="0" borderId="46" xfId="0" applyFont="1" applyBorder="1" applyAlignment="1">
      <alignment horizontal="left" vertical="top" wrapText="1"/>
    </xf>
    <xf numFmtId="0" fontId="42" fillId="29" borderId="4" xfId="0" applyFont="1" applyFill="1" applyBorder="1" applyAlignment="1">
      <alignment vertical="top" wrapText="1"/>
    </xf>
    <xf numFmtId="0" fontId="58" fillId="30" borderId="44" xfId="0" applyFont="1" applyFill="1" applyBorder="1" applyAlignment="1">
      <alignment vertical="top" wrapText="1"/>
    </xf>
    <xf numFmtId="0" fontId="0" fillId="0" borderId="43" xfId="0" applyBorder="1" applyAlignment="1">
      <alignment vertical="top" wrapText="1"/>
    </xf>
    <xf numFmtId="0" fontId="9" fillId="33" borderId="41" xfId="0" applyFont="1" applyFill="1" applyBorder="1" applyAlignment="1">
      <alignment horizontal="left" vertical="top" wrapText="1"/>
    </xf>
    <xf numFmtId="0" fontId="9" fillId="0" borderId="72" xfId="0" applyFont="1" applyBorder="1" applyAlignment="1">
      <alignment horizontal="left" vertical="top" wrapText="1"/>
    </xf>
    <xf numFmtId="0" fontId="9" fillId="0" borderId="4" xfId="0" applyFont="1" applyBorder="1" applyAlignment="1">
      <alignment horizontal="left" vertical="top" wrapText="1"/>
    </xf>
    <xf numFmtId="0" fontId="16" fillId="31" borderId="41" xfId="1" applyFont="1" applyFill="1" applyBorder="1" applyAlignment="1" applyProtection="1">
      <alignment vertical="top" wrapText="1"/>
    </xf>
    <xf numFmtId="165" fontId="0" fillId="0" borderId="2" xfId="0" applyNumberFormat="1" applyBorder="1" applyAlignment="1">
      <alignment horizontal="center" vertical="top" wrapText="1"/>
    </xf>
    <xf numFmtId="0" fontId="10" fillId="42" borderId="90" xfId="0" applyFont="1" applyFill="1" applyBorder="1" applyAlignment="1">
      <alignment horizontal="center" vertical="center" wrapText="1"/>
    </xf>
    <xf numFmtId="0" fontId="0" fillId="0" borderId="101" xfId="0" applyBorder="1" applyAlignment="1">
      <alignment vertical="top" wrapText="1"/>
    </xf>
    <xf numFmtId="0" fontId="0" fillId="17" borderId="102" xfId="0" applyFill="1" applyBorder="1" applyAlignment="1">
      <alignment vertical="top" wrapText="1"/>
    </xf>
    <xf numFmtId="0" fontId="0" fillId="17" borderId="68" xfId="0" applyFill="1" applyBorder="1" applyAlignment="1">
      <alignment vertical="top" wrapText="1"/>
    </xf>
    <xf numFmtId="0" fontId="3" fillId="17" borderId="68" xfId="1" applyFill="1" applyBorder="1" applyAlignment="1" applyProtection="1">
      <alignment vertical="top" wrapText="1"/>
    </xf>
    <xf numFmtId="49" fontId="87" fillId="0" borderId="1" xfId="0" applyNumberFormat="1" applyFont="1" applyBorder="1" applyAlignment="1">
      <alignment horizontal="center" vertical="center"/>
    </xf>
    <xf numFmtId="0" fontId="30" fillId="16" borderId="2" xfId="0" applyFont="1" applyFill="1" applyBorder="1" applyAlignment="1">
      <alignment horizontal="center" vertical="top" wrapText="1"/>
    </xf>
    <xf numFmtId="0" fontId="49" fillId="29" borderId="42" xfId="0" applyFont="1" applyFill="1" applyBorder="1" applyAlignment="1">
      <alignment vertical="top" wrapText="1"/>
    </xf>
    <xf numFmtId="0" fontId="50" fillId="30" borderId="45" xfId="0" applyFont="1" applyFill="1" applyBorder="1" applyAlignment="1">
      <alignment vertical="top" wrapText="1"/>
    </xf>
    <xf numFmtId="0" fontId="17" fillId="0" borderId="46" xfId="0" applyFont="1" applyBorder="1" applyAlignment="1">
      <alignment vertical="top" wrapText="1"/>
    </xf>
    <xf numFmtId="0" fontId="50" fillId="30" borderId="44" xfId="0" applyFont="1" applyFill="1" applyBorder="1" applyAlignment="1">
      <alignment vertical="top" wrapText="1"/>
    </xf>
    <xf numFmtId="0" fontId="49" fillId="29" borderId="4" xfId="0" applyFont="1" applyFill="1" applyBorder="1" applyAlignment="1">
      <alignment vertical="top" wrapText="1"/>
    </xf>
    <xf numFmtId="0" fontId="17" fillId="0" borderId="43" xfId="0" applyFont="1" applyBorder="1" applyAlignment="1">
      <alignment vertical="top" wrapText="1"/>
    </xf>
    <xf numFmtId="0" fontId="17" fillId="0" borderId="41" xfId="0" applyFont="1" applyBorder="1" applyAlignment="1">
      <alignment vertical="top" wrapText="1"/>
    </xf>
    <xf numFmtId="0" fontId="17" fillId="0" borderId="72" xfId="0" applyFont="1" applyBorder="1" applyAlignment="1">
      <alignment vertical="top" wrapText="1"/>
    </xf>
    <xf numFmtId="0" fontId="17" fillId="33" borderId="46" xfId="0" applyFont="1" applyFill="1" applyBorder="1" applyAlignment="1">
      <alignment vertical="top" wrapText="1"/>
    </xf>
    <xf numFmtId="0" fontId="0" fillId="0" borderId="53" xfId="0" applyBorder="1" applyAlignment="1">
      <alignment vertical="top" wrapText="1"/>
    </xf>
    <xf numFmtId="0" fontId="0" fillId="0" borderId="30" xfId="0" applyBorder="1" applyAlignment="1">
      <alignment vertical="top" wrapText="1"/>
    </xf>
    <xf numFmtId="0" fontId="35" fillId="11" borderId="2" xfId="0" applyFont="1" applyFill="1" applyBorder="1" applyAlignment="1">
      <alignment horizontal="center" vertical="top" wrapText="1"/>
    </xf>
    <xf numFmtId="0" fontId="0" fillId="43" borderId="92" xfId="0" applyFill="1" applyBorder="1" applyAlignment="1">
      <alignment horizontal="center" vertical="top" wrapText="1"/>
    </xf>
    <xf numFmtId="165" fontId="0" fillId="43" borderId="2" xfId="0" applyNumberFormat="1" applyFill="1" applyBorder="1" applyAlignment="1">
      <alignment horizontal="center" vertical="top" wrapText="1"/>
    </xf>
    <xf numFmtId="0" fontId="10" fillId="42" borderId="60" xfId="0" applyFont="1" applyFill="1" applyBorder="1" applyAlignment="1">
      <alignment horizontal="center" vertical="center" wrapText="1"/>
    </xf>
    <xf numFmtId="49" fontId="87" fillId="0" borderId="1" xfId="0" applyNumberFormat="1" applyFont="1" applyBorder="1" applyAlignment="1">
      <alignment horizontal="center" vertical="center" wrapText="1"/>
    </xf>
    <xf numFmtId="0" fontId="35" fillId="3" borderId="2" xfId="0" applyFont="1" applyFill="1" applyBorder="1" applyAlignment="1">
      <alignment horizontal="center" vertical="top" wrapText="1"/>
    </xf>
    <xf numFmtId="0" fontId="9" fillId="0" borderId="46" xfId="0" applyFont="1" applyBorder="1" applyAlignment="1">
      <alignment vertical="top" wrapText="1"/>
    </xf>
    <xf numFmtId="0" fontId="9" fillId="0" borderId="43" xfId="0" applyFont="1" applyBorder="1" applyAlignment="1">
      <alignment vertical="top" wrapText="1"/>
    </xf>
    <xf numFmtId="0" fontId="9" fillId="0" borderId="41" xfId="0" applyFont="1" applyBorder="1" applyAlignment="1">
      <alignment vertical="top" wrapText="1"/>
    </xf>
    <xf numFmtId="0" fontId="9" fillId="0" borderId="72" xfId="0" applyFont="1" applyBorder="1" applyAlignment="1">
      <alignment vertical="top" wrapText="1"/>
    </xf>
    <xf numFmtId="0" fontId="0" fillId="0" borderId="54" xfId="0" applyBorder="1" applyAlignment="1">
      <alignment vertical="top" wrapText="1"/>
    </xf>
    <xf numFmtId="0" fontId="1" fillId="25" borderId="2" xfId="0" applyFont="1" applyFill="1" applyBorder="1" applyAlignment="1">
      <alignment horizontal="center" vertical="top" wrapText="1"/>
    </xf>
    <xf numFmtId="0" fontId="1" fillId="6" borderId="2" xfId="0" applyFont="1" applyFill="1" applyBorder="1" applyAlignment="1">
      <alignment horizontal="center" vertical="top" wrapText="1"/>
    </xf>
    <xf numFmtId="0" fontId="0" fillId="12" borderId="30" xfId="0" applyFill="1" applyBorder="1" applyAlignment="1">
      <alignment vertical="top" wrapText="1"/>
    </xf>
    <xf numFmtId="0" fontId="30" fillId="7" borderId="2" xfId="0" applyFont="1" applyFill="1" applyBorder="1" applyAlignment="1">
      <alignment horizontal="center" vertical="top" wrapText="1"/>
    </xf>
    <xf numFmtId="0" fontId="0" fillId="17" borderId="67" xfId="0" applyFill="1" applyBorder="1" applyAlignment="1">
      <alignment vertical="top" wrapText="1"/>
    </xf>
    <xf numFmtId="0" fontId="30" fillId="27" borderId="2" xfId="0" applyFont="1" applyFill="1" applyBorder="1" applyAlignment="1">
      <alignment horizontal="center" vertical="top" wrapText="1"/>
    </xf>
    <xf numFmtId="0" fontId="17" fillId="0" borderId="4" xfId="0" applyFont="1" applyBorder="1" applyAlignment="1">
      <alignment vertical="top" wrapText="1"/>
    </xf>
    <xf numFmtId="0" fontId="8" fillId="26" borderId="45" xfId="0" applyFont="1" applyFill="1" applyBorder="1" applyAlignment="1">
      <alignment vertical="top" wrapText="1"/>
    </xf>
    <xf numFmtId="0" fontId="0" fillId="43" borderId="99" xfId="0" applyFill="1" applyBorder="1" applyAlignment="1">
      <alignment horizontal="center" vertical="top" wrapText="1"/>
    </xf>
    <xf numFmtId="165" fontId="0" fillId="43" borderId="100" xfId="0" applyNumberFormat="1" applyFill="1" applyBorder="1" applyAlignment="1">
      <alignment horizontal="center" vertical="top" wrapText="1"/>
    </xf>
    <xf numFmtId="0" fontId="0" fillId="17" borderId="69" xfId="0" applyFill="1" applyBorder="1" applyAlignment="1">
      <alignment vertical="top" wrapText="1"/>
    </xf>
    <xf numFmtId="0" fontId="30" fillId="28" borderId="2" xfId="0" applyFont="1" applyFill="1" applyBorder="1" applyAlignment="1">
      <alignment horizontal="center" vertical="top" wrapText="1"/>
    </xf>
    <xf numFmtId="0" fontId="1" fillId="26" borderId="2" xfId="0" applyFont="1" applyFill="1" applyBorder="1" applyAlignment="1">
      <alignment horizontal="center" vertical="top" wrapText="1"/>
    </xf>
    <xf numFmtId="0" fontId="10" fillId="2" borderId="42" xfId="0" applyFont="1" applyFill="1" applyBorder="1" applyAlignment="1">
      <alignment horizontal="center" vertical="center" wrapText="1"/>
    </xf>
    <xf numFmtId="0" fontId="25" fillId="31" borderId="2" xfId="0" applyFont="1" applyFill="1" applyBorder="1" applyAlignment="1">
      <alignment horizontal="center" vertical="top" wrapText="1"/>
    </xf>
    <xf numFmtId="0" fontId="0" fillId="0" borderId="90" xfId="0" applyBorder="1" applyAlignment="1">
      <alignment vertical="top" wrapText="1"/>
    </xf>
    <xf numFmtId="0" fontId="35" fillId="19" borderId="2" xfId="0" applyFont="1" applyFill="1" applyBorder="1" applyAlignment="1">
      <alignment horizontal="center" vertical="top" wrapText="1"/>
    </xf>
    <xf numFmtId="0" fontId="10" fillId="2" borderId="103" xfId="0" applyFont="1" applyFill="1" applyBorder="1" applyAlignment="1">
      <alignment horizontal="center" vertical="center" wrapText="1"/>
    </xf>
    <xf numFmtId="0" fontId="0" fillId="17" borderId="70" xfId="0" applyFill="1" applyBorder="1" applyAlignment="1">
      <alignment vertical="top" wrapText="1"/>
    </xf>
    <xf numFmtId="0" fontId="0" fillId="31" borderId="71" xfId="0" applyFill="1" applyBorder="1" applyAlignment="1">
      <alignment vertical="top" wrapText="1"/>
    </xf>
    <xf numFmtId="0" fontId="31" fillId="14" borderId="2" xfId="0" applyFont="1" applyFill="1" applyBorder="1" applyAlignment="1">
      <alignment horizontal="center" vertical="top" wrapText="1"/>
    </xf>
    <xf numFmtId="0" fontId="35" fillId="39" borderId="2" xfId="0" applyFont="1" applyFill="1" applyBorder="1" applyAlignment="1">
      <alignment horizontal="center" vertical="top" wrapText="1"/>
    </xf>
    <xf numFmtId="0" fontId="37" fillId="20" borderId="2" xfId="0" applyFont="1" applyFill="1" applyBorder="1" applyAlignment="1">
      <alignment horizontal="center" vertical="top" wrapText="1"/>
    </xf>
    <xf numFmtId="0" fontId="37" fillId="18" borderId="2" xfId="0" applyFont="1" applyFill="1" applyBorder="1" applyAlignment="1">
      <alignment horizontal="center" vertical="top" wrapText="1"/>
    </xf>
    <xf numFmtId="0" fontId="16" fillId="0" borderId="1" xfId="0" applyFont="1" applyBorder="1" applyAlignment="1">
      <alignment vertical="top" wrapText="1"/>
    </xf>
    <xf numFmtId="0" fontId="35" fillId="8" borderId="2" xfId="0" applyFont="1" applyFill="1" applyBorder="1" applyAlignment="1">
      <alignment horizontal="center" vertical="top" wrapText="1"/>
    </xf>
    <xf numFmtId="0" fontId="4" fillId="8" borderId="42" xfId="0" applyFont="1" applyFill="1" applyBorder="1" applyAlignment="1">
      <alignment vertical="top" wrapText="1"/>
    </xf>
    <xf numFmtId="0" fontId="15" fillId="8" borderId="45" xfId="0" applyFont="1" applyFill="1" applyBorder="1" applyAlignment="1">
      <alignment vertical="top" wrapText="1"/>
    </xf>
    <xf numFmtId="0" fontId="15" fillId="8" borderId="46" xfId="0" applyFont="1" applyFill="1" applyBorder="1" applyAlignment="1">
      <alignment vertical="top" wrapText="1"/>
    </xf>
    <xf numFmtId="0" fontId="15" fillId="8" borderId="44" xfId="0" applyFont="1" applyFill="1" applyBorder="1" applyAlignment="1">
      <alignment vertical="top" wrapText="1"/>
    </xf>
    <xf numFmtId="0" fontId="4" fillId="8" borderId="4" xfId="0" applyFont="1" applyFill="1" applyBorder="1" applyAlignment="1">
      <alignment vertical="top" wrapText="1"/>
    </xf>
    <xf numFmtId="0" fontId="4" fillId="8" borderId="45" xfId="0" applyFont="1" applyFill="1" applyBorder="1" applyAlignment="1">
      <alignment vertical="top" wrapText="1"/>
    </xf>
    <xf numFmtId="0" fontId="4" fillId="8" borderId="46" xfId="0" applyFont="1" applyFill="1" applyBorder="1" applyAlignment="1">
      <alignment vertical="top" wrapText="1"/>
    </xf>
    <xf numFmtId="0" fontId="4" fillId="8" borderId="44" xfId="0" applyFont="1" applyFill="1" applyBorder="1" applyAlignment="1">
      <alignment vertical="top" wrapText="1"/>
    </xf>
    <xf numFmtId="0" fontId="15" fillId="8" borderId="43" xfId="0" applyFont="1" applyFill="1" applyBorder="1" applyAlignment="1">
      <alignment vertical="top" wrapText="1"/>
    </xf>
    <xf numFmtId="0" fontId="15" fillId="8" borderId="41" xfId="0" applyFont="1" applyFill="1" applyBorder="1" applyAlignment="1">
      <alignment vertical="top" wrapText="1"/>
    </xf>
    <xf numFmtId="0" fontId="15" fillId="8" borderId="72" xfId="0" applyFont="1" applyFill="1" applyBorder="1" applyAlignment="1">
      <alignment vertical="top" wrapText="1"/>
    </xf>
    <xf numFmtId="0" fontId="15" fillId="8" borderId="4" xfId="0" applyFont="1" applyFill="1" applyBorder="1" applyAlignment="1">
      <alignment vertical="top" wrapText="1"/>
    </xf>
    <xf numFmtId="0" fontId="41" fillId="8" borderId="45" xfId="0" applyFont="1" applyFill="1" applyBorder="1" applyAlignment="1">
      <alignment horizontal="left" vertical="top" wrapText="1"/>
    </xf>
    <xf numFmtId="0" fontId="41" fillId="8" borderId="41" xfId="0" applyFont="1" applyFill="1" applyBorder="1" applyAlignment="1">
      <alignment horizontal="left" vertical="top" wrapText="1"/>
    </xf>
    <xf numFmtId="0" fontId="41" fillId="8" borderId="43" xfId="0" applyFont="1" applyFill="1" applyBorder="1" applyAlignment="1">
      <alignment horizontal="left" vertical="top" wrapText="1"/>
    </xf>
    <xf numFmtId="0" fontId="41" fillId="8" borderId="46" xfId="0" applyFont="1" applyFill="1" applyBorder="1" applyAlignment="1">
      <alignment horizontal="left" vertical="top" wrapText="1"/>
    </xf>
    <xf numFmtId="0" fontId="31" fillId="0" borderId="37" xfId="0" applyFont="1" applyBorder="1" applyAlignment="1">
      <alignment horizontal="center" vertical="top" wrapText="1"/>
    </xf>
    <xf numFmtId="0" fontId="5" fillId="0" borderId="41" xfId="0" applyFont="1" applyBorder="1" applyAlignment="1">
      <alignment vertical="top" wrapText="1"/>
    </xf>
    <xf numFmtId="0" fontId="9" fillId="0" borderId="41" xfId="0" applyFont="1" applyBorder="1" applyAlignment="1">
      <alignment horizontal="left" vertical="top" wrapText="1"/>
    </xf>
    <xf numFmtId="0" fontId="9" fillId="4" borderId="41" xfId="0" applyFont="1" applyFill="1" applyBorder="1" applyAlignment="1">
      <alignment horizontal="left" vertical="top" wrapText="1"/>
    </xf>
    <xf numFmtId="0" fontId="9" fillId="0" borderId="43" xfId="0" applyFont="1" applyBorder="1" applyAlignment="1">
      <alignment horizontal="left" vertical="top" wrapText="1"/>
    </xf>
    <xf numFmtId="7" fontId="17" fillId="0" borderId="1" xfId="0" applyNumberFormat="1" applyFont="1" applyBorder="1" applyAlignment="1">
      <alignment vertical="top" wrapText="1"/>
    </xf>
    <xf numFmtId="0" fontId="16" fillId="0" borderId="41" xfId="1" applyFont="1" applyFill="1" applyBorder="1" applyAlignment="1" applyProtection="1">
      <alignment vertical="top" wrapText="1"/>
    </xf>
    <xf numFmtId="0" fontId="7" fillId="0" borderId="41" xfId="1" applyFont="1" applyFill="1" applyBorder="1" applyAlignment="1" applyProtection="1">
      <alignment horizontal="left" vertical="top" wrapText="1"/>
    </xf>
    <xf numFmtId="7" fontId="50" fillId="0" borderId="0" xfId="0" applyNumberFormat="1" applyFont="1"/>
    <xf numFmtId="0" fontId="8" fillId="2" borderId="1" xfId="0" applyFont="1" applyFill="1" applyBorder="1" applyAlignment="1">
      <alignment horizontal="center" vertical="center" wrapText="1"/>
    </xf>
    <xf numFmtId="0" fontId="9" fillId="0" borderId="1" xfId="0" applyFont="1" applyBorder="1" applyAlignment="1">
      <alignment vertical="center"/>
    </xf>
    <xf numFmtId="0" fontId="9" fillId="0" borderId="1" xfId="0" applyFont="1" applyBorder="1" applyAlignment="1">
      <alignment vertical="center" wrapText="1"/>
    </xf>
    <xf numFmtId="0" fontId="9" fillId="0" borderId="1" xfId="0" applyFont="1" applyBorder="1" applyAlignment="1">
      <alignment horizontal="center" vertical="center"/>
    </xf>
    <xf numFmtId="0" fontId="9" fillId="0" borderId="19" xfId="0" applyFont="1" applyBorder="1" applyAlignment="1">
      <alignment horizontal="center" vertical="center"/>
    </xf>
    <xf numFmtId="0" fontId="9" fillId="0" borderId="17" xfId="0" applyFont="1" applyBorder="1" applyAlignment="1">
      <alignment vertical="center"/>
    </xf>
    <xf numFmtId="0" fontId="0" fillId="0" borderId="30" xfId="0" applyBorder="1" applyAlignment="1">
      <alignment horizontal="center" vertical="center" wrapText="1"/>
    </xf>
    <xf numFmtId="0" fontId="41" fillId="15" borderId="1" xfId="0" applyFont="1" applyFill="1" applyBorder="1" applyAlignment="1">
      <alignment horizontal="center" vertical="center"/>
    </xf>
    <xf numFmtId="0" fontId="87" fillId="0" borderId="1" xfId="1" quotePrefix="1" applyNumberFormat="1" applyFont="1" applyFill="1" applyBorder="1" applyAlignment="1" applyProtection="1">
      <alignment horizontal="center" vertical="center"/>
    </xf>
    <xf numFmtId="0" fontId="3" fillId="0" borderId="0" xfId="1" applyAlignment="1" applyProtection="1">
      <alignment vertical="top"/>
    </xf>
    <xf numFmtId="49" fontId="0" fillId="0" borderId="0" xfId="0" applyNumberFormat="1" applyAlignment="1">
      <alignment vertical="top" wrapText="1"/>
    </xf>
    <xf numFmtId="0" fontId="88" fillId="0" borderId="0" xfId="0" applyFont="1" applyAlignment="1">
      <alignment vertical="top"/>
    </xf>
    <xf numFmtId="0" fontId="9" fillId="0" borderId="38" xfId="0" applyFont="1" applyBorder="1" applyAlignment="1">
      <alignment horizontal="left" vertical="top" wrapText="1"/>
    </xf>
    <xf numFmtId="0" fontId="31" fillId="0" borderId="0" xfId="0" applyFont="1" applyAlignment="1">
      <alignment horizontal="center" vertical="top" wrapText="1"/>
    </xf>
    <xf numFmtId="0" fontId="9" fillId="0" borderId="0" xfId="0" applyFont="1" applyAlignment="1">
      <alignment horizontal="left" vertical="top" wrapText="1"/>
    </xf>
    <xf numFmtId="0" fontId="8" fillId="22" borderId="64" xfId="0" applyFont="1" applyFill="1" applyBorder="1" applyAlignment="1">
      <alignment horizontal="right" vertical="center" wrapText="1"/>
    </xf>
    <xf numFmtId="0" fontId="8" fillId="22" borderId="68" xfId="0" applyFont="1" applyFill="1" applyBorder="1" applyAlignment="1">
      <alignment horizontal="right" vertical="center" wrapText="1"/>
    </xf>
    <xf numFmtId="0" fontId="65" fillId="5" borderId="0" xfId="0" applyFont="1" applyFill="1" applyAlignment="1" applyProtection="1">
      <alignment horizontal="left"/>
      <protection locked="0"/>
    </xf>
    <xf numFmtId="0" fontId="16" fillId="5" borderId="0" xfId="0" applyFont="1" applyFill="1" applyProtection="1">
      <protection locked="0"/>
    </xf>
    <xf numFmtId="0" fontId="109" fillId="22" borderId="68" xfId="1" applyFont="1" applyFill="1" applyBorder="1" applyAlignment="1">
      <alignment horizontal="right" vertical="center" wrapText="1"/>
    </xf>
    <xf numFmtId="0" fontId="109" fillId="22" borderId="108" xfId="1" applyFont="1" applyFill="1" applyBorder="1" applyAlignment="1">
      <alignment horizontal="right" vertical="center" wrapText="1"/>
    </xf>
    <xf numFmtId="7" fontId="109" fillId="22" borderId="106" xfId="1" applyNumberFormat="1" applyFont="1" applyFill="1" applyBorder="1" applyAlignment="1">
      <alignment horizontal="right" vertical="center"/>
    </xf>
    <xf numFmtId="7" fontId="3" fillId="22" borderId="11" xfId="1" applyNumberFormat="1" applyFill="1" applyBorder="1" applyAlignment="1">
      <alignment horizontal="right" vertical="center"/>
    </xf>
    <xf numFmtId="0" fontId="23" fillId="22" borderId="102" xfId="1" applyFont="1" applyFill="1" applyBorder="1" applyAlignment="1">
      <alignment horizontal="right" vertical="center"/>
    </xf>
    <xf numFmtId="7" fontId="23" fillId="22" borderId="11" xfId="1" applyNumberFormat="1" applyFont="1" applyFill="1" applyBorder="1" applyAlignment="1">
      <alignment horizontal="right" vertical="center"/>
    </xf>
    <xf numFmtId="0" fontId="3" fillId="9" borderId="29" xfId="1" applyFill="1" applyBorder="1" applyAlignment="1">
      <alignment vertical="top" wrapText="1"/>
    </xf>
    <xf numFmtId="0" fontId="3" fillId="12" borderId="29" xfId="1" applyFill="1" applyBorder="1" applyAlignment="1">
      <alignment vertical="top" wrapText="1"/>
    </xf>
    <xf numFmtId="0" fontId="100" fillId="12" borderId="80" xfId="0" applyFont="1" applyFill="1" applyBorder="1" applyAlignment="1">
      <alignment horizontal="left" vertical="center"/>
    </xf>
    <xf numFmtId="0" fontId="100" fillId="12" borderId="119" xfId="0" applyFont="1" applyFill="1" applyBorder="1" applyAlignment="1">
      <alignment horizontal="left" vertical="center"/>
    </xf>
    <xf numFmtId="0" fontId="100" fillId="12" borderId="119" xfId="0" applyFont="1" applyFill="1" applyBorder="1" applyAlignment="1" applyProtection="1">
      <alignment horizontal="left" vertical="center"/>
      <protection locked="0"/>
    </xf>
    <xf numFmtId="0" fontId="65" fillId="5" borderId="1" xfId="0" applyFont="1" applyFill="1" applyBorder="1" applyAlignment="1" applyProtection="1">
      <alignment horizontal="left" vertical="center" wrapText="1"/>
      <protection locked="0"/>
    </xf>
    <xf numFmtId="0" fontId="65" fillId="5" borderId="122" xfId="0" applyFont="1" applyFill="1" applyBorder="1" applyAlignment="1" applyProtection="1">
      <alignment horizontal="left" vertical="center" wrapText="1"/>
      <protection locked="0"/>
    </xf>
    <xf numFmtId="0" fontId="4" fillId="22" borderId="33" xfId="0" applyFont="1" applyFill="1" applyBorder="1" applyAlignment="1">
      <alignment horizontal="left" vertical="center" wrapText="1"/>
    </xf>
    <xf numFmtId="0" fontId="83" fillId="22" borderId="33" xfId="0" applyFont="1" applyFill="1" applyBorder="1" applyAlignment="1">
      <alignment horizontal="left" vertical="top" wrapText="1"/>
    </xf>
    <xf numFmtId="0" fontId="1" fillId="22" borderId="39" xfId="0" applyFont="1" applyFill="1" applyBorder="1" applyAlignment="1">
      <alignment horizontal="left" vertical="center" wrapText="1"/>
    </xf>
    <xf numFmtId="0" fontId="1" fillId="22" borderId="40" xfId="0" applyFont="1" applyFill="1" applyBorder="1" applyAlignment="1">
      <alignment horizontal="left" vertical="center" wrapText="1"/>
    </xf>
    <xf numFmtId="0" fontId="4" fillId="22" borderId="40" xfId="0" applyFont="1" applyFill="1" applyBorder="1" applyAlignment="1">
      <alignment horizontal="left" vertical="top" wrapText="1"/>
    </xf>
    <xf numFmtId="0" fontId="2" fillId="9" borderId="51" xfId="0" applyFont="1" applyFill="1" applyBorder="1" applyAlignment="1" applyProtection="1">
      <alignment horizontal="left" vertical="center"/>
      <protection locked="0"/>
    </xf>
    <xf numFmtId="0" fontId="2" fillId="4" borderId="51" xfId="0" applyFont="1" applyFill="1" applyBorder="1" applyAlignment="1" applyProtection="1">
      <alignment horizontal="left" vertical="center"/>
      <protection locked="0"/>
    </xf>
    <xf numFmtId="0" fontId="2" fillId="17" borderId="51" xfId="0" applyFont="1" applyFill="1" applyBorder="1" applyAlignment="1" applyProtection="1">
      <alignment horizontal="left" vertical="center"/>
      <protection locked="0"/>
    </xf>
    <xf numFmtId="0" fontId="100" fillId="12" borderId="51" xfId="0" applyFont="1" applyFill="1" applyBorder="1" applyAlignment="1">
      <alignment horizontal="left" vertical="center"/>
    </xf>
    <xf numFmtId="0" fontId="10" fillId="22" borderId="105" xfId="0" applyFont="1" applyFill="1" applyBorder="1" applyAlignment="1">
      <alignment horizontal="left" vertical="center" wrapText="1"/>
    </xf>
    <xf numFmtId="0" fontId="10" fillId="22" borderId="0" xfId="0" applyFont="1" applyFill="1" applyAlignment="1">
      <alignment horizontal="left" vertical="center" wrapText="1"/>
    </xf>
    <xf numFmtId="14" fontId="19" fillId="0" borderId="80" xfId="0" applyNumberFormat="1" applyFont="1" applyBorder="1" applyAlignment="1" applyProtection="1">
      <alignment horizontal="left" vertical="center" wrapText="1"/>
      <protection locked="0"/>
    </xf>
    <xf numFmtId="14" fontId="19" fillId="0" borderId="119" xfId="0" applyNumberFormat="1" applyFont="1" applyBorder="1" applyAlignment="1" applyProtection="1">
      <alignment horizontal="left" vertical="center" wrapText="1"/>
      <protection locked="0"/>
    </xf>
    <xf numFmtId="14" fontId="19" fillId="0" borderId="79" xfId="0" applyNumberFormat="1" applyFont="1" applyBorder="1" applyAlignment="1" applyProtection="1">
      <alignment horizontal="left" vertical="center" wrapText="1"/>
      <protection locked="0"/>
    </xf>
    <xf numFmtId="20" fontId="19" fillId="0" borderId="80" xfId="0" applyNumberFormat="1" applyFont="1" applyBorder="1" applyAlignment="1" applyProtection="1">
      <alignment horizontal="left" vertical="center" wrapText="1"/>
      <protection locked="0"/>
    </xf>
    <xf numFmtId="20" fontId="19" fillId="0" borderId="119" xfId="0" applyNumberFormat="1" applyFont="1" applyBorder="1" applyAlignment="1" applyProtection="1">
      <alignment horizontal="left" vertical="center" wrapText="1"/>
      <protection locked="0"/>
    </xf>
    <xf numFmtId="20" fontId="19" fillId="0" borderId="79" xfId="0" applyNumberFormat="1" applyFont="1" applyBorder="1" applyAlignment="1" applyProtection="1">
      <alignment horizontal="left" vertical="center" wrapText="1"/>
      <protection locked="0"/>
    </xf>
    <xf numFmtId="0" fontId="0" fillId="0" borderId="0" xfId="0"/>
    <xf numFmtId="14" fontId="101" fillId="0" borderId="125" xfId="0" applyNumberFormat="1" applyFont="1" applyBorder="1" applyAlignment="1" applyProtection="1">
      <alignment horizontal="center" vertical="center" wrapText="1"/>
      <protection locked="0"/>
    </xf>
    <xf numFmtId="14" fontId="101" fillId="0" borderId="126" xfId="0" applyNumberFormat="1" applyFont="1" applyBorder="1" applyAlignment="1" applyProtection="1">
      <alignment horizontal="center" vertical="center" wrapText="1"/>
      <protection locked="0"/>
    </xf>
    <xf numFmtId="14" fontId="101" fillId="0" borderId="127" xfId="0" applyNumberFormat="1" applyFont="1" applyBorder="1" applyAlignment="1" applyProtection="1">
      <alignment horizontal="center" vertical="center" wrapText="1"/>
      <protection locked="0"/>
    </xf>
    <xf numFmtId="0" fontId="107" fillId="40" borderId="0" xfId="0" applyFont="1" applyFill="1" applyAlignment="1">
      <alignment horizontal="left" vertical="center" wrapText="1"/>
    </xf>
    <xf numFmtId="0" fontId="94" fillId="40" borderId="0" xfId="0" applyFont="1" applyFill="1" applyAlignment="1">
      <alignment horizontal="left" vertical="center" wrapText="1"/>
    </xf>
    <xf numFmtId="0" fontId="65" fillId="5" borderId="38" xfId="0" applyFont="1" applyFill="1" applyBorder="1" applyAlignment="1" applyProtection="1">
      <alignment horizontal="center" vertical="center" wrapText="1"/>
      <protection locked="0"/>
    </xf>
    <xf numFmtId="0" fontId="65" fillId="5" borderId="1" xfId="0" applyFont="1" applyFill="1" applyBorder="1" applyAlignment="1" applyProtection="1">
      <alignment horizontal="center" vertical="center" wrapText="1"/>
      <protection locked="0"/>
    </xf>
    <xf numFmtId="0" fontId="74" fillId="0" borderId="114" xfId="1" applyFont="1" applyFill="1" applyBorder="1" applyAlignment="1" applyProtection="1">
      <alignment vertical="center" wrapText="1"/>
    </xf>
    <xf numFmtId="0" fontId="74" fillId="0" borderId="13" xfId="1" applyFont="1" applyFill="1" applyBorder="1" applyAlignment="1" applyProtection="1">
      <alignment vertical="center" wrapText="1"/>
    </xf>
    <xf numFmtId="0" fontId="45" fillId="12" borderId="12" xfId="1" applyFont="1" applyFill="1" applyBorder="1" applyAlignment="1" applyProtection="1">
      <alignment vertical="center"/>
      <protection locked="0"/>
    </xf>
    <xf numFmtId="0" fontId="45" fillId="12" borderId="106" xfId="1" applyFont="1" applyFill="1" applyBorder="1" applyAlignment="1" applyProtection="1">
      <alignment vertical="center"/>
      <protection locked="0"/>
    </xf>
    <xf numFmtId="0" fontId="11" fillId="22" borderId="9" xfId="0" applyFont="1" applyFill="1" applyBorder="1" applyAlignment="1">
      <alignment horizontal="right" vertical="top"/>
    </xf>
    <xf numFmtId="0" fontId="11" fillId="22" borderId="10" xfId="0" applyFont="1" applyFill="1" applyBorder="1" applyAlignment="1">
      <alignment horizontal="right" vertical="top"/>
    </xf>
    <xf numFmtId="0" fontId="97" fillId="5" borderId="16" xfId="0" applyFont="1" applyFill="1" applyBorder="1" applyAlignment="1">
      <alignment horizontal="left" vertical="center" wrapText="1"/>
    </xf>
    <xf numFmtId="0" fontId="45" fillId="12" borderId="84" xfId="1" applyFont="1" applyFill="1" applyBorder="1" applyAlignment="1" applyProtection="1">
      <alignment horizontal="left" vertical="center"/>
      <protection locked="0"/>
    </xf>
    <xf numFmtId="0" fontId="45" fillId="12" borderId="85" xfId="1" applyFont="1" applyFill="1" applyBorder="1" applyAlignment="1" applyProtection="1">
      <alignment horizontal="left" vertical="center"/>
      <protection locked="0"/>
    </xf>
    <xf numFmtId="49" fontId="60" fillId="0" borderId="12" xfId="1" applyNumberFormat="1" applyFont="1" applyBorder="1" applyAlignment="1" applyProtection="1">
      <alignment horizontal="left" vertical="center"/>
      <protection locked="0"/>
    </xf>
    <xf numFmtId="49" fontId="60" fillId="0" borderId="106" xfId="1" applyNumberFormat="1" applyFont="1" applyBorder="1" applyAlignment="1" applyProtection="1">
      <alignment horizontal="left" vertical="center"/>
      <protection locked="0"/>
    </xf>
    <xf numFmtId="0" fontId="60" fillId="0" borderId="14" xfId="1" applyFont="1" applyBorder="1" applyAlignment="1" applyProtection="1">
      <alignment horizontal="left" vertical="center"/>
      <protection locked="0"/>
    </xf>
    <xf numFmtId="0" fontId="60" fillId="0" borderId="16" xfId="1" applyFont="1" applyBorder="1" applyAlignment="1" applyProtection="1">
      <alignment horizontal="left" vertical="center"/>
      <protection locked="0"/>
    </xf>
    <xf numFmtId="0" fontId="14" fillId="0" borderId="11" xfId="1" applyFont="1" applyBorder="1" applyAlignment="1" applyProtection="1">
      <alignment horizontal="left" vertical="center"/>
    </xf>
    <xf numFmtId="0" fontId="14" fillId="0" borderId="10" xfId="1" applyFont="1" applyBorder="1" applyAlignment="1" applyProtection="1">
      <alignment horizontal="left" vertical="center"/>
    </xf>
    <xf numFmtId="49" fontId="60" fillId="0" borderId="9" xfId="1" applyNumberFormat="1" applyFont="1" applyBorder="1" applyAlignment="1" applyProtection="1">
      <alignment horizontal="left" vertical="center"/>
      <protection locked="0"/>
    </xf>
    <xf numFmtId="49" fontId="60" fillId="0" borderId="11" xfId="1" applyNumberFormat="1" applyFont="1" applyBorder="1" applyAlignment="1" applyProtection="1">
      <alignment horizontal="left" vertical="center"/>
      <protection locked="0"/>
    </xf>
    <xf numFmtId="0" fontId="14" fillId="0" borderId="106" xfId="1" applyFont="1" applyBorder="1" applyAlignment="1" applyProtection="1">
      <alignment horizontal="left" vertical="center"/>
    </xf>
    <xf numFmtId="0" fontId="14" fillId="0" borderId="13" xfId="1" applyFont="1" applyBorder="1" applyAlignment="1" applyProtection="1">
      <alignment horizontal="left" vertical="center"/>
    </xf>
    <xf numFmtId="0" fontId="41" fillId="0" borderId="106" xfId="0" applyFont="1" applyBorder="1" applyAlignment="1" applyProtection="1">
      <alignment horizontal="left" vertical="center" wrapText="1"/>
      <protection locked="0"/>
    </xf>
    <xf numFmtId="0" fontId="41" fillId="0" borderId="13" xfId="0" applyFont="1" applyBorder="1" applyAlignment="1" applyProtection="1">
      <alignment horizontal="left" vertical="center" wrapText="1"/>
      <protection locked="0"/>
    </xf>
    <xf numFmtId="0" fontId="18" fillId="22" borderId="2" xfId="0" applyFont="1" applyFill="1" applyBorder="1" applyAlignment="1">
      <alignment horizontal="right" vertical="center"/>
    </xf>
    <xf numFmtId="0" fontId="18" fillId="22" borderId="3" xfId="0" applyFont="1" applyFill="1" applyBorder="1" applyAlignment="1">
      <alignment horizontal="right" vertical="center"/>
    </xf>
    <xf numFmtId="0" fontId="74" fillId="0" borderId="106" xfId="1" applyFont="1" applyFill="1" applyBorder="1" applyAlignment="1" applyProtection="1">
      <alignment vertical="center" wrapText="1"/>
      <protection locked="0"/>
    </xf>
    <xf numFmtId="0" fontId="95" fillId="0" borderId="114" xfId="1" applyFont="1" applyFill="1" applyBorder="1" applyAlignment="1" applyProtection="1">
      <alignment vertical="center" wrapText="1"/>
    </xf>
    <xf numFmtId="0" fontId="95" fillId="0" borderId="106" xfId="1" applyFont="1" applyFill="1" applyBorder="1" applyAlignment="1" applyProtection="1">
      <alignment vertical="center" wrapText="1"/>
    </xf>
    <xf numFmtId="0" fontId="99" fillId="0" borderId="112" xfId="0" applyFont="1" applyBorder="1" applyAlignment="1" applyProtection="1">
      <alignment horizontal="left" vertical="center" wrapText="1"/>
      <protection locked="0"/>
    </xf>
    <xf numFmtId="0" fontId="99" fillId="0" borderId="16" xfId="0" applyFont="1" applyBorder="1" applyAlignment="1" applyProtection="1">
      <alignment horizontal="left" vertical="center" wrapText="1"/>
      <protection locked="0"/>
    </xf>
    <xf numFmtId="0" fontId="99" fillId="0" borderId="15" xfId="0" applyFont="1" applyBorder="1" applyAlignment="1" applyProtection="1">
      <alignment horizontal="left" vertical="center" wrapText="1"/>
      <protection locked="0"/>
    </xf>
    <xf numFmtId="0" fontId="99" fillId="12" borderId="9" xfId="1" applyFont="1" applyFill="1" applyBorder="1" applyAlignment="1" applyProtection="1">
      <alignment vertical="center" wrapText="1"/>
      <protection locked="0"/>
    </xf>
    <xf numFmtId="0" fontId="99" fillId="12" borderId="11" xfId="1" applyFont="1" applyFill="1" applyBorder="1" applyAlignment="1" applyProtection="1">
      <alignment vertical="center" wrapText="1"/>
      <protection locked="0"/>
    </xf>
    <xf numFmtId="0" fontId="99" fillId="12" borderId="88" xfId="1" applyFont="1" applyFill="1" applyBorder="1" applyAlignment="1" applyProtection="1">
      <alignment vertical="center" wrapText="1"/>
      <protection locked="0"/>
    </xf>
    <xf numFmtId="0" fontId="99" fillId="12" borderId="12" xfId="1" applyFont="1" applyFill="1" applyBorder="1" applyAlignment="1" applyProtection="1">
      <alignment vertical="center" wrapText="1"/>
      <protection locked="0"/>
    </xf>
    <xf numFmtId="0" fontId="99" fillId="12" borderId="106" xfId="1" applyFont="1" applyFill="1" applyBorder="1" applyAlignment="1" applyProtection="1">
      <alignment vertical="center" wrapText="1"/>
      <protection locked="0"/>
    </xf>
    <xf numFmtId="0" fontId="99" fillId="12" borderId="102" xfId="1" applyFont="1" applyFill="1" applyBorder="1" applyAlignment="1" applyProtection="1">
      <alignment vertical="center" wrapText="1"/>
      <protection locked="0"/>
    </xf>
    <xf numFmtId="0" fontId="4" fillId="0" borderId="0" xfId="0" applyFont="1" applyAlignment="1">
      <alignment vertical="center"/>
    </xf>
    <xf numFmtId="0" fontId="1" fillId="0" borderId="0" xfId="1" applyFont="1" applyFill="1" applyBorder="1" applyAlignment="1" applyProtection="1">
      <alignment horizontal="left" vertical="center"/>
    </xf>
    <xf numFmtId="0" fontId="16" fillId="0" borderId="12" xfId="0" applyFont="1" applyBorder="1" applyAlignment="1">
      <alignment horizontal="left" vertical="center"/>
    </xf>
    <xf numFmtId="0" fontId="16" fillId="0" borderId="106" xfId="0" applyFont="1" applyBorder="1" applyAlignment="1">
      <alignment horizontal="left" vertical="center"/>
    </xf>
    <xf numFmtId="0" fontId="16" fillId="0" borderId="13" xfId="0" applyFont="1" applyBorder="1" applyAlignment="1">
      <alignment horizontal="left" vertical="center"/>
    </xf>
    <xf numFmtId="0" fontId="16" fillId="12" borderId="14" xfId="0" applyFont="1" applyFill="1" applyBorder="1" applyAlignment="1">
      <alignment horizontal="left" vertical="center"/>
    </xf>
    <xf numFmtId="0" fontId="16" fillId="12" borderId="16" xfId="0" applyFont="1" applyFill="1" applyBorder="1" applyAlignment="1">
      <alignment horizontal="left" vertical="center"/>
    </xf>
    <xf numFmtId="0" fontId="16" fillId="12" borderId="15" xfId="0" applyFont="1" applyFill="1" applyBorder="1" applyAlignment="1">
      <alignment horizontal="left" vertical="center"/>
    </xf>
    <xf numFmtId="0" fontId="16" fillId="0" borderId="12" xfId="1" applyFont="1" applyBorder="1" applyAlignment="1">
      <alignment horizontal="left" vertical="center" wrapText="1"/>
    </xf>
    <xf numFmtId="0" fontId="16" fillId="0" borderId="106" xfId="1" applyFont="1" applyBorder="1" applyAlignment="1">
      <alignment horizontal="left" vertical="center" wrapText="1"/>
    </xf>
    <xf numFmtId="0" fontId="16" fillId="0" borderId="13" xfId="1" applyFont="1" applyBorder="1" applyAlignment="1">
      <alignment horizontal="left" vertical="center" wrapText="1"/>
    </xf>
    <xf numFmtId="0" fontId="14" fillId="0" borderId="16" xfId="1" applyFont="1" applyBorder="1" applyAlignment="1" applyProtection="1">
      <alignment horizontal="left" vertical="center"/>
    </xf>
    <xf numFmtId="0" fontId="14" fillId="0" borderId="15" xfId="1" applyFont="1" applyBorder="1" applyAlignment="1" applyProtection="1">
      <alignment horizontal="left" vertical="center"/>
    </xf>
    <xf numFmtId="0" fontId="14" fillId="0" borderId="9" xfId="1" applyFont="1" applyBorder="1" applyAlignment="1">
      <alignment horizontal="left" vertical="center"/>
    </xf>
    <xf numFmtId="0" fontId="14" fillId="0" borderId="11" xfId="1" applyFont="1" applyBorder="1" applyAlignment="1">
      <alignment horizontal="left" vertical="center"/>
    </xf>
    <xf numFmtId="0" fontId="14" fillId="0" borderId="10" xfId="1" applyFont="1" applyBorder="1" applyAlignment="1">
      <alignment horizontal="left" vertical="center"/>
    </xf>
    <xf numFmtId="0" fontId="60" fillId="0" borderId="106" xfId="1" applyFont="1" applyBorder="1" applyAlignment="1" applyProtection="1">
      <alignment horizontal="left" vertical="center"/>
    </xf>
    <xf numFmtId="0" fontId="60" fillId="0" borderId="13" xfId="1" applyFont="1" applyBorder="1" applyAlignment="1" applyProtection="1">
      <alignment horizontal="left" vertical="center"/>
    </xf>
    <xf numFmtId="0" fontId="1" fillId="0" borderId="0" xfId="1" applyFont="1" applyFill="1" applyBorder="1" applyAlignment="1" applyProtection="1">
      <alignment horizontal="center" vertical="center" wrapText="1"/>
    </xf>
    <xf numFmtId="0" fontId="23" fillId="3" borderId="6" xfId="1" applyFont="1" applyFill="1" applyBorder="1" applyAlignment="1">
      <alignment horizontal="center" vertical="center" wrapText="1"/>
    </xf>
    <xf numFmtId="0" fontId="44" fillId="5" borderId="11" xfId="0" applyFont="1" applyFill="1" applyBorder="1" applyAlignment="1">
      <alignment horizontal="left" vertical="center"/>
    </xf>
    <xf numFmtId="0" fontId="44" fillId="5" borderId="10" xfId="0" applyFont="1" applyFill="1" applyBorder="1" applyAlignment="1">
      <alignment horizontal="left" vertical="center"/>
    </xf>
    <xf numFmtId="0" fontId="44" fillId="5" borderId="106" xfId="0" applyFont="1" applyFill="1" applyBorder="1" applyAlignment="1">
      <alignment horizontal="left" vertical="center"/>
    </xf>
    <xf numFmtId="0" fontId="44" fillId="5" borderId="13" xfId="0" applyFont="1" applyFill="1" applyBorder="1" applyAlignment="1">
      <alignment horizontal="left" vertical="center"/>
    </xf>
    <xf numFmtId="0" fontId="47" fillId="3" borderId="2" xfId="0" applyFont="1" applyFill="1" applyBorder="1" applyAlignment="1">
      <alignment horizontal="left" vertical="center"/>
    </xf>
    <xf numFmtId="0" fontId="47" fillId="3" borderId="4" xfId="0" applyFont="1" applyFill="1" applyBorder="1" applyAlignment="1">
      <alignment horizontal="left" vertical="center"/>
    </xf>
    <xf numFmtId="0" fontId="23" fillId="22" borderId="2" xfId="1" applyFont="1" applyFill="1" applyBorder="1" applyAlignment="1">
      <alignment horizontal="right" vertical="center"/>
    </xf>
    <xf numFmtId="0" fontId="23" fillId="22" borderId="3" xfId="1" applyFont="1" applyFill="1" applyBorder="1" applyAlignment="1">
      <alignment horizontal="right" vertical="center"/>
    </xf>
    <xf numFmtId="0" fontId="23" fillId="22" borderId="2" xfId="1" applyFont="1" applyFill="1" applyBorder="1" applyAlignment="1">
      <alignment horizontal="right" vertical="top"/>
    </xf>
    <xf numFmtId="0" fontId="23" fillId="22" borderId="3" xfId="1" applyFont="1" applyFill="1" applyBorder="1" applyAlignment="1">
      <alignment horizontal="right" vertical="top"/>
    </xf>
    <xf numFmtId="0" fontId="10" fillId="3" borderId="2"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3" xfId="0" applyFont="1" applyFill="1" applyBorder="1" applyAlignment="1">
      <alignment horizontal="center" vertical="center"/>
    </xf>
    <xf numFmtId="0" fontId="1" fillId="22" borderId="2" xfId="0" applyFont="1" applyFill="1" applyBorder="1" applyAlignment="1">
      <alignment horizontal="right" vertical="top"/>
    </xf>
    <xf numFmtId="0" fontId="1" fillId="22" borderId="3" xfId="0" applyFont="1" applyFill="1" applyBorder="1" applyAlignment="1">
      <alignment horizontal="right" vertical="top"/>
    </xf>
    <xf numFmtId="166" fontId="97" fillId="5" borderId="106" xfId="0" applyNumberFormat="1" applyFont="1" applyFill="1" applyBorder="1" applyAlignment="1">
      <alignment horizontal="left" vertical="center" wrapText="1"/>
    </xf>
    <xf numFmtId="166" fontId="97" fillId="5" borderId="106" xfId="0" applyNumberFormat="1" applyFont="1" applyFill="1" applyBorder="1" applyAlignment="1">
      <alignment horizontal="left" vertical="center"/>
    </xf>
    <xf numFmtId="166" fontId="97" fillId="5" borderId="13" xfId="0" applyNumberFormat="1" applyFont="1" applyFill="1" applyBorder="1" applyAlignment="1">
      <alignment horizontal="left" vertical="center"/>
    </xf>
    <xf numFmtId="166" fontId="25" fillId="12" borderId="106" xfId="0" applyNumberFormat="1" applyFont="1" applyFill="1" applyBorder="1" applyAlignment="1">
      <alignment horizontal="left" vertical="center"/>
    </xf>
    <xf numFmtId="0" fontId="46" fillId="12" borderId="12" xfId="0" applyFont="1" applyFill="1" applyBorder="1" applyAlignment="1" applyProtection="1">
      <alignment horizontal="left" vertical="center"/>
      <protection locked="0"/>
    </xf>
    <xf numFmtId="0" fontId="46" fillId="12" borderId="106" xfId="0" applyFont="1" applyFill="1" applyBorder="1" applyAlignment="1" applyProtection="1">
      <alignment horizontal="left" vertical="center"/>
      <protection locked="0"/>
    </xf>
    <xf numFmtId="0" fontId="16" fillId="12" borderId="12" xfId="0" applyFont="1" applyFill="1" applyBorder="1" applyAlignment="1" applyProtection="1">
      <alignment horizontal="left" vertical="center"/>
      <protection locked="0"/>
    </xf>
    <xf numFmtId="0" fontId="16" fillId="12" borderId="106" xfId="0" applyFont="1" applyFill="1" applyBorder="1" applyAlignment="1" applyProtection="1">
      <alignment horizontal="left" vertical="center"/>
      <protection locked="0"/>
    </xf>
    <xf numFmtId="0" fontId="3" fillId="12" borderId="12" xfId="1" applyFill="1" applyBorder="1" applyAlignment="1" applyProtection="1">
      <alignment horizontal="left" vertical="center"/>
      <protection locked="0"/>
    </xf>
    <xf numFmtId="0" fontId="3" fillId="12" borderId="106" xfId="1" applyFill="1" applyBorder="1" applyAlignment="1" applyProtection="1">
      <alignment horizontal="left" vertical="center"/>
      <protection locked="0"/>
    </xf>
    <xf numFmtId="0" fontId="16" fillId="12" borderId="102" xfId="0" applyFont="1" applyFill="1" applyBorder="1" applyAlignment="1" applyProtection="1">
      <alignment horizontal="left" vertical="center"/>
      <protection locked="0"/>
    </xf>
    <xf numFmtId="0" fontId="25" fillId="12" borderId="9" xfId="0" applyFont="1" applyFill="1" applyBorder="1" applyAlignment="1">
      <alignment horizontal="left" vertical="center"/>
    </xf>
    <xf numFmtId="0" fontId="25" fillId="12" borderId="11" xfId="0" applyFont="1" applyFill="1" applyBorder="1" applyAlignment="1">
      <alignment horizontal="left" vertical="center"/>
    </xf>
    <xf numFmtId="0" fontId="9" fillId="0" borderId="110" xfId="0" applyFont="1" applyBorder="1" applyAlignment="1" applyProtection="1">
      <alignment horizontal="left" vertical="center" wrapText="1"/>
      <protection locked="0"/>
    </xf>
    <xf numFmtId="0" fontId="9" fillId="0" borderId="11" xfId="0" applyFont="1" applyBorder="1" applyAlignment="1" applyProtection="1">
      <alignment horizontal="left" vertical="center" wrapText="1"/>
      <protection locked="0"/>
    </xf>
    <xf numFmtId="0" fontId="9" fillId="0" borderId="10" xfId="0" applyFont="1" applyBorder="1" applyAlignment="1" applyProtection="1">
      <alignment horizontal="left" vertical="center" wrapText="1"/>
      <protection locked="0"/>
    </xf>
    <xf numFmtId="0" fontId="99" fillId="12" borderId="111" xfId="1" applyFont="1" applyFill="1" applyBorder="1" applyAlignment="1" applyProtection="1">
      <alignment horizontal="left" vertical="center" wrapText="1"/>
      <protection locked="0"/>
    </xf>
    <xf numFmtId="0" fontId="99" fillId="12" borderId="106" xfId="1" applyFont="1" applyFill="1" applyBorder="1" applyAlignment="1" applyProtection="1">
      <alignment horizontal="left" vertical="center" wrapText="1"/>
      <protection locked="0"/>
    </xf>
    <xf numFmtId="0" fontId="99" fillId="12" borderId="13" xfId="1" applyFont="1" applyFill="1" applyBorder="1" applyAlignment="1" applyProtection="1">
      <alignment horizontal="left" vertical="center" wrapText="1"/>
      <protection locked="0"/>
    </xf>
    <xf numFmtId="0" fontId="99" fillId="0" borderId="111" xfId="0" applyFont="1" applyBorder="1" applyAlignment="1" applyProtection="1">
      <alignment horizontal="left" vertical="center" wrapText="1"/>
      <protection locked="0"/>
    </xf>
    <xf numFmtId="0" fontId="99" fillId="0" borderId="106" xfId="0" applyFont="1" applyBorder="1" applyAlignment="1" applyProtection="1">
      <alignment horizontal="left" vertical="center" wrapText="1"/>
      <protection locked="0"/>
    </xf>
    <xf numFmtId="0" fontId="99" fillId="0" borderId="13" xfId="0" applyFont="1" applyBorder="1" applyAlignment="1" applyProtection="1">
      <alignment horizontal="left" vertical="center" wrapText="1"/>
      <protection locked="0"/>
    </xf>
    <xf numFmtId="0" fontId="42" fillId="13" borderId="7" xfId="0" applyFont="1" applyFill="1" applyBorder="1" applyAlignment="1">
      <alignment horizontal="center" vertical="center"/>
    </xf>
    <xf numFmtId="0" fontId="42" fillId="13" borderId="87" xfId="0" applyFont="1" applyFill="1" applyBorder="1" applyAlignment="1">
      <alignment horizontal="center" vertical="center"/>
    </xf>
    <xf numFmtId="7" fontId="70" fillId="40" borderId="1" xfId="0" applyNumberFormat="1" applyFont="1" applyFill="1" applyBorder="1" applyAlignment="1">
      <alignment horizontal="center" vertical="center"/>
    </xf>
    <xf numFmtId="7" fontId="70" fillId="40" borderId="37" xfId="0" applyNumberFormat="1" applyFont="1" applyFill="1" applyBorder="1" applyAlignment="1">
      <alignment horizontal="center" vertical="center"/>
    </xf>
    <xf numFmtId="0" fontId="23" fillId="0" borderId="0" xfId="1" applyFont="1" applyFill="1" applyBorder="1" applyAlignment="1">
      <alignment vertical="center"/>
    </xf>
    <xf numFmtId="49" fontId="16" fillId="12" borderId="12" xfId="0" applyNumberFormat="1" applyFont="1" applyFill="1" applyBorder="1" applyAlignment="1" applyProtection="1">
      <alignment horizontal="left" vertical="center"/>
      <protection locked="0"/>
    </xf>
    <xf numFmtId="49" fontId="16" fillId="12" borderId="106" xfId="0" applyNumberFormat="1" applyFont="1" applyFill="1" applyBorder="1" applyAlignment="1" applyProtection="1">
      <alignment horizontal="left" vertical="center"/>
      <protection locked="0"/>
    </xf>
    <xf numFmtId="0" fontId="16" fillId="12" borderId="9" xfId="0" applyFont="1" applyFill="1" applyBorder="1" applyAlignment="1" applyProtection="1">
      <alignment horizontal="left" vertical="center"/>
      <protection locked="0"/>
    </xf>
    <xf numFmtId="0" fontId="16" fillId="12" borderId="11" xfId="0" applyFont="1" applyFill="1" applyBorder="1" applyAlignment="1" applyProtection="1">
      <alignment horizontal="left" vertical="center"/>
      <protection locked="0"/>
    </xf>
    <xf numFmtId="0" fontId="46" fillId="5" borderId="12" xfId="0" applyFont="1" applyFill="1" applyBorder="1" applyAlignment="1">
      <alignment horizontal="left" vertical="center"/>
    </xf>
    <xf numFmtId="0" fontId="46" fillId="5" borderId="106" xfId="0" applyFont="1" applyFill="1" applyBorder="1" applyAlignment="1">
      <alignment horizontal="left" vertical="center"/>
    </xf>
    <xf numFmtId="0" fontId="41" fillId="0" borderId="106" xfId="0" applyFont="1" applyBorder="1" applyAlignment="1">
      <alignment horizontal="left" vertical="center" wrapText="1"/>
    </xf>
    <xf numFmtId="0" fontId="41" fillId="0" borderId="13" xfId="0" applyFont="1" applyBorder="1" applyAlignment="1">
      <alignment horizontal="left" vertical="center" wrapText="1"/>
    </xf>
    <xf numFmtId="0" fontId="43" fillId="3" borderId="4" xfId="1" applyFont="1" applyFill="1" applyBorder="1" applyAlignment="1">
      <alignment horizontal="center" vertical="center" wrapText="1"/>
    </xf>
    <xf numFmtId="0" fontId="43" fillId="3" borderId="3" xfId="1" applyFont="1" applyFill="1" applyBorder="1" applyAlignment="1">
      <alignment horizontal="center" vertical="center" wrapText="1"/>
    </xf>
    <xf numFmtId="0" fontId="11" fillId="22" borderId="2" xfId="1" applyFont="1" applyFill="1" applyBorder="1" applyAlignment="1">
      <alignment horizontal="right" vertical="top"/>
    </xf>
    <xf numFmtId="0" fontId="11" fillId="22" borderId="3" xfId="1" applyFont="1" applyFill="1" applyBorder="1" applyAlignment="1">
      <alignment horizontal="right" vertical="top"/>
    </xf>
    <xf numFmtId="0" fontId="5" fillId="0" borderId="0" xfId="0" applyFont="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16" fillId="0" borderId="9" xfId="1" applyFont="1" applyBorder="1" applyAlignment="1">
      <alignment horizontal="left" vertical="center" wrapText="1"/>
    </xf>
    <xf numFmtId="0" fontId="16" fillId="0" borderId="11" xfId="1" applyFont="1" applyBorder="1" applyAlignment="1">
      <alignment horizontal="left" vertical="center" wrapText="1"/>
    </xf>
    <xf numFmtId="0" fontId="16" fillId="0" borderId="10" xfId="1" applyFont="1" applyBorder="1" applyAlignment="1">
      <alignment horizontal="left" vertical="center" wrapText="1"/>
    </xf>
    <xf numFmtId="0" fontId="14" fillId="0" borderId="14" xfId="1" applyFont="1" applyBorder="1" applyAlignment="1">
      <alignment horizontal="left" vertical="center"/>
    </xf>
    <xf numFmtId="0" fontId="14" fillId="0" borderId="16" xfId="1" applyFont="1" applyBorder="1" applyAlignment="1">
      <alignment horizontal="left" vertical="center"/>
    </xf>
    <xf numFmtId="0" fontId="14" fillId="0" borderId="15" xfId="1" applyFont="1" applyBorder="1" applyAlignment="1">
      <alignment horizontal="left" vertical="center"/>
    </xf>
    <xf numFmtId="0" fontId="14" fillId="0" borderId="12" xfId="1" applyFont="1" applyBorder="1" applyAlignment="1">
      <alignment horizontal="left" vertical="center"/>
    </xf>
    <xf numFmtId="0" fontId="14" fillId="0" borderId="106" xfId="1" applyFont="1" applyBorder="1" applyAlignment="1">
      <alignment horizontal="left" vertical="center"/>
    </xf>
    <xf numFmtId="0" fontId="14" fillId="0" borderId="13" xfId="1" applyFont="1" applyBorder="1" applyAlignment="1">
      <alignment horizontal="left" vertical="center"/>
    </xf>
    <xf numFmtId="11" fontId="14" fillId="0" borderId="114" xfId="1" applyNumberFormat="1" applyFont="1" applyFill="1" applyBorder="1" applyAlignment="1" applyProtection="1">
      <alignment horizontal="left" vertical="center"/>
      <protection locked="0"/>
    </xf>
    <xf numFmtId="0" fontId="14" fillId="0" borderId="106" xfId="1" applyFont="1" applyFill="1" applyBorder="1" applyAlignment="1" applyProtection="1">
      <alignment horizontal="left" vertical="center"/>
      <protection locked="0"/>
    </xf>
    <xf numFmtId="0" fontId="14" fillId="0" borderId="13" xfId="1" applyFont="1" applyFill="1" applyBorder="1" applyAlignment="1" applyProtection="1">
      <alignment horizontal="left" vertical="center"/>
      <protection locked="0"/>
    </xf>
    <xf numFmtId="0" fontId="14" fillId="0" borderId="114" xfId="1" applyFont="1" applyFill="1" applyBorder="1" applyAlignment="1" applyProtection="1">
      <alignment horizontal="left" vertical="center"/>
      <protection locked="0"/>
    </xf>
    <xf numFmtId="0" fontId="14" fillId="0" borderId="106" xfId="1" applyFont="1" applyBorder="1" applyAlignment="1">
      <alignment horizontal="right" vertical="center"/>
    </xf>
    <xf numFmtId="0" fontId="1" fillId="3" borderId="2" xfId="1" applyFont="1" applyFill="1" applyBorder="1" applyAlignment="1">
      <alignment horizontal="left" vertical="center"/>
    </xf>
    <xf numFmtId="0" fontId="1" fillId="3" borderId="3" xfId="1" applyFont="1" applyFill="1" applyBorder="1" applyAlignment="1">
      <alignment horizontal="left" vertical="center"/>
    </xf>
    <xf numFmtId="0" fontId="4" fillId="22" borderId="12" xfId="0" applyFont="1" applyFill="1" applyBorder="1" applyAlignment="1">
      <alignment horizontal="right" vertical="top"/>
    </xf>
    <xf numFmtId="0" fontId="4" fillId="22" borderId="13" xfId="0" applyFont="1" applyFill="1" applyBorder="1" applyAlignment="1">
      <alignment horizontal="right" vertical="top"/>
    </xf>
    <xf numFmtId="0" fontId="1" fillId="22" borderId="12" xfId="0" applyFont="1" applyFill="1" applyBorder="1" applyAlignment="1">
      <alignment horizontal="right" vertical="top"/>
    </xf>
    <xf numFmtId="0" fontId="1" fillId="22" borderId="13" xfId="0" applyFont="1" applyFill="1" applyBorder="1" applyAlignment="1">
      <alignment horizontal="right" vertical="top"/>
    </xf>
    <xf numFmtId="0" fontId="1" fillId="22" borderId="9" xfId="0" applyFont="1" applyFill="1" applyBorder="1" applyAlignment="1">
      <alignment horizontal="right" vertical="top"/>
    </xf>
    <xf numFmtId="0" fontId="1" fillId="22" borderId="10" xfId="0" applyFont="1" applyFill="1" applyBorder="1" applyAlignment="1">
      <alignment horizontal="right" vertical="top"/>
    </xf>
    <xf numFmtId="0" fontId="4" fillId="22" borderId="14" xfId="0" applyFont="1" applyFill="1" applyBorder="1" applyAlignment="1">
      <alignment horizontal="right" vertical="top"/>
    </xf>
    <xf numFmtId="0" fontId="4" fillId="22" borderId="15" xfId="0" applyFont="1" applyFill="1" applyBorder="1" applyAlignment="1">
      <alignment horizontal="right" vertical="top"/>
    </xf>
    <xf numFmtId="0" fontId="1" fillId="22" borderId="2" xfId="0" applyFont="1" applyFill="1" applyBorder="1" applyAlignment="1">
      <alignment horizontal="right" vertical="center"/>
    </xf>
    <xf numFmtId="0" fontId="1" fillId="22" borderId="3" xfId="0" applyFont="1" applyFill="1" applyBorder="1" applyAlignment="1">
      <alignment horizontal="right" vertical="center"/>
    </xf>
    <xf numFmtId="0" fontId="56" fillId="22" borderId="2" xfId="0" applyFont="1" applyFill="1" applyBorder="1" applyAlignment="1">
      <alignment horizontal="right" vertical="center"/>
    </xf>
    <xf numFmtId="0" fontId="56" fillId="22" borderId="3" xfId="0" applyFont="1" applyFill="1" applyBorder="1" applyAlignment="1">
      <alignment horizontal="right" vertical="center"/>
    </xf>
    <xf numFmtId="0" fontId="8" fillId="22" borderId="7" xfId="0" applyFont="1" applyFill="1" applyBorder="1" applyAlignment="1">
      <alignment horizontal="right" vertical="center"/>
    </xf>
    <xf numFmtId="0" fontId="8" fillId="22" borderId="8" xfId="0" applyFont="1" applyFill="1" applyBorder="1" applyAlignment="1">
      <alignment horizontal="right" vertical="center"/>
    </xf>
    <xf numFmtId="0" fontId="4" fillId="22" borderId="84" xfId="0" applyFont="1" applyFill="1" applyBorder="1" applyAlignment="1">
      <alignment horizontal="right" vertical="top"/>
    </xf>
    <xf numFmtId="0" fontId="4" fillId="22" borderId="89" xfId="0" applyFont="1" applyFill="1" applyBorder="1" applyAlignment="1">
      <alignment horizontal="right" vertical="top"/>
    </xf>
    <xf numFmtId="7" fontId="99" fillId="12" borderId="12" xfId="1" applyNumberFormat="1" applyFont="1" applyFill="1" applyBorder="1" applyAlignment="1" applyProtection="1">
      <alignment vertical="center" wrapText="1"/>
      <protection locked="0"/>
    </xf>
    <xf numFmtId="7" fontId="99" fillId="12" borderId="106" xfId="1" applyNumberFormat="1" applyFont="1" applyFill="1" applyBorder="1" applyAlignment="1" applyProtection="1">
      <alignment vertical="center" wrapText="1"/>
      <protection locked="0"/>
    </xf>
    <xf numFmtId="7" fontId="99" fillId="12" borderId="102" xfId="1" applyNumberFormat="1" applyFont="1" applyFill="1" applyBorder="1" applyAlignment="1" applyProtection="1">
      <alignment vertical="center" wrapText="1"/>
      <protection locked="0"/>
    </xf>
    <xf numFmtId="0" fontId="99" fillId="12" borderId="14" xfId="1" applyFont="1" applyFill="1" applyBorder="1" applyAlignment="1" applyProtection="1">
      <alignment vertical="center" wrapText="1"/>
      <protection locked="0"/>
    </xf>
    <xf numFmtId="0" fontId="99" fillId="12" borderId="16" xfId="1" applyFont="1" applyFill="1" applyBorder="1" applyAlignment="1" applyProtection="1">
      <alignment vertical="center" wrapText="1"/>
      <protection locked="0"/>
    </xf>
    <xf numFmtId="0" fontId="99" fillId="12" borderId="109" xfId="1" applyFont="1" applyFill="1" applyBorder="1" applyAlignment="1" applyProtection="1">
      <alignment vertical="center" wrapText="1"/>
      <protection locked="0"/>
    </xf>
    <xf numFmtId="0" fontId="41" fillId="0" borderId="0" xfId="0" applyFont="1" applyAlignment="1">
      <alignment vertical="center" wrapText="1"/>
    </xf>
    <xf numFmtId="0" fontId="41" fillId="0" borderId="0" xfId="0" applyFont="1" applyAlignment="1">
      <alignment vertical="center"/>
    </xf>
    <xf numFmtId="0" fontId="27" fillId="0" borderId="0" xfId="0" applyFont="1" applyAlignment="1">
      <alignment horizontal="left" vertical="top" wrapText="1"/>
    </xf>
    <xf numFmtId="0" fontId="3" fillId="0" borderId="0" xfId="1" applyAlignment="1">
      <alignment horizontal="left" vertical="center"/>
    </xf>
    <xf numFmtId="7" fontId="17" fillId="0" borderId="0" xfId="0" applyNumberFormat="1" applyFont="1" applyAlignment="1">
      <alignment horizontal="left" vertical="top" wrapText="1"/>
    </xf>
    <xf numFmtId="0" fontId="25" fillId="0" borderId="0" xfId="1" applyFont="1" applyFill="1" applyBorder="1" applyAlignment="1" applyProtection="1">
      <alignment horizontal="center" vertical="center"/>
    </xf>
    <xf numFmtId="0" fontId="1" fillId="22" borderId="2" xfId="0" applyFont="1" applyFill="1" applyBorder="1" applyAlignment="1">
      <alignment vertical="center"/>
    </xf>
    <xf numFmtId="0" fontId="1" fillId="22" borderId="3" xfId="0" applyFont="1" applyFill="1" applyBorder="1" applyAlignment="1">
      <alignment vertical="center"/>
    </xf>
    <xf numFmtId="0" fontId="1" fillId="22" borderId="84" xfId="0" applyFont="1" applyFill="1" applyBorder="1" applyAlignment="1">
      <alignment horizontal="right" vertical="top"/>
    </xf>
    <xf numFmtId="0" fontId="1" fillId="22" borderId="89" xfId="0" applyFont="1" applyFill="1" applyBorder="1" applyAlignment="1">
      <alignment horizontal="right" vertical="top"/>
    </xf>
    <xf numFmtId="7" fontId="27" fillId="22" borderId="4" xfId="0" applyNumberFormat="1" applyFont="1" applyFill="1" applyBorder="1" applyAlignment="1">
      <alignment horizontal="right" vertical="center"/>
    </xf>
    <xf numFmtId="166" fontId="16" fillId="12" borderId="106" xfId="0" applyNumberFormat="1" applyFont="1" applyFill="1" applyBorder="1" applyAlignment="1" applyProtection="1">
      <alignment horizontal="left" vertical="center"/>
      <protection locked="0"/>
    </xf>
    <xf numFmtId="0" fontId="25" fillId="5" borderId="106" xfId="0" applyFont="1" applyFill="1" applyBorder="1" applyAlignment="1">
      <alignment horizontal="left" vertical="center"/>
    </xf>
    <xf numFmtId="0" fontId="0" fillId="0" borderId="0" xfId="0" applyAlignment="1">
      <alignment vertical="top" wrapText="1"/>
    </xf>
    <xf numFmtId="0" fontId="4" fillId="0" borderId="0" xfId="0" applyFont="1" applyAlignment="1">
      <alignment horizontal="left" vertical="top" wrapText="1"/>
    </xf>
    <xf numFmtId="0" fontId="76" fillId="0" borderId="0" xfId="0" applyFont="1" applyAlignment="1">
      <alignment horizontal="left" vertical="top" wrapText="1"/>
    </xf>
    <xf numFmtId="0" fontId="10" fillId="3" borderId="0" xfId="0" applyFont="1" applyFill="1" applyAlignment="1">
      <alignment horizontal="left" vertical="center" wrapText="1"/>
    </xf>
    <xf numFmtId="0" fontId="1" fillId="3" borderId="0" xfId="0" applyFont="1" applyFill="1" applyAlignment="1">
      <alignment horizontal="left" vertical="center" wrapText="1"/>
    </xf>
    <xf numFmtId="0" fontId="20" fillId="0" borderId="0" xfId="0" applyFont="1" applyAlignment="1">
      <alignment horizontal="left" vertical="top" wrapText="1"/>
    </xf>
    <xf numFmtId="0" fontId="1" fillId="0" borderId="0" xfId="0" applyFont="1" applyAlignment="1">
      <alignment horizontal="left" vertical="top" wrapText="1"/>
    </xf>
    <xf numFmtId="0" fontId="0" fillId="0" borderId="0" xfId="0" applyAlignment="1">
      <alignment horizontal="left" vertical="top" wrapText="1"/>
    </xf>
    <xf numFmtId="49" fontId="65" fillId="12" borderId="2" xfId="0" applyNumberFormat="1" applyFont="1" applyFill="1" applyBorder="1" applyAlignment="1" applyProtection="1">
      <alignment horizontal="left" vertical="center"/>
      <protection locked="0"/>
    </xf>
    <xf numFmtId="49" fontId="65" fillId="12" borderId="4" xfId="0" applyNumberFormat="1" applyFont="1" applyFill="1" applyBorder="1" applyAlignment="1" applyProtection="1">
      <alignment horizontal="left" vertical="center"/>
      <protection locked="0"/>
    </xf>
    <xf numFmtId="49" fontId="65" fillId="12" borderId="3" xfId="0" applyNumberFormat="1" applyFont="1" applyFill="1" applyBorder="1" applyAlignment="1" applyProtection="1">
      <alignment horizontal="left" vertical="center"/>
      <protection locked="0"/>
    </xf>
    <xf numFmtId="49" fontId="0" fillId="5" borderId="1" xfId="0" applyNumberFormat="1" applyFill="1" applyBorder="1" applyAlignment="1" applyProtection="1">
      <alignment horizontal="center" vertical="center"/>
      <protection locked="0"/>
    </xf>
    <xf numFmtId="0" fontId="3" fillId="9" borderId="2" xfId="1" applyFill="1" applyBorder="1" applyAlignment="1" applyProtection="1">
      <alignment horizontal="center" vertical="center" wrapText="1"/>
    </xf>
    <xf numFmtId="0" fontId="3" fillId="9" borderId="3" xfId="1" applyFill="1" applyBorder="1" applyAlignment="1" applyProtection="1">
      <alignment horizontal="center" vertical="center" wrapText="1"/>
    </xf>
    <xf numFmtId="0" fontId="0" fillId="9" borderId="2" xfId="0" applyFill="1" applyBorder="1" applyAlignment="1">
      <alignment horizontal="center" vertical="center" wrapText="1"/>
    </xf>
    <xf numFmtId="0" fontId="0" fillId="9" borderId="3" xfId="0" applyFill="1" applyBorder="1" applyAlignment="1">
      <alignment horizontal="center" vertical="center" wrapText="1"/>
    </xf>
    <xf numFmtId="0" fontId="10" fillId="22" borderId="28" xfId="1" applyFont="1" applyFill="1" applyBorder="1" applyAlignment="1">
      <alignment horizontal="center" vertical="center" wrapText="1"/>
    </xf>
    <xf numFmtId="0" fontId="10" fillId="22" borderId="52" xfId="1" applyFont="1" applyFill="1" applyBorder="1" applyAlignment="1">
      <alignment horizontal="center" vertical="center" wrapText="1"/>
    </xf>
    <xf numFmtId="0" fontId="17" fillId="0" borderId="19" xfId="0" applyFont="1" applyBorder="1" applyAlignment="1">
      <alignment horizontal="left" vertical="top" wrapText="1"/>
    </xf>
    <xf numFmtId="0" fontId="17" fillId="0" borderId="18" xfId="0" applyFont="1" applyBorder="1" applyAlignment="1">
      <alignment horizontal="left" vertical="top" wrapText="1"/>
    </xf>
    <xf numFmtId="0" fontId="17" fillId="0" borderId="17" xfId="0" applyFont="1" applyBorder="1" applyAlignment="1">
      <alignment horizontal="left" vertical="top" wrapText="1"/>
    </xf>
    <xf numFmtId="0" fontId="23" fillId="22" borderId="23" xfId="1" applyFont="1" applyFill="1" applyBorder="1" applyAlignment="1">
      <alignment horizontal="center" vertical="center" wrapText="1"/>
    </xf>
    <xf numFmtId="0" fontId="23" fillId="22" borderId="24" xfId="1" applyFont="1" applyFill="1" applyBorder="1" applyAlignment="1">
      <alignment horizontal="center" vertical="center" wrapText="1"/>
    </xf>
    <xf numFmtId="0" fontId="23" fillId="22" borderId="28" xfId="1" applyFont="1" applyFill="1" applyBorder="1" applyAlignment="1">
      <alignment horizontal="center" vertical="center" wrapText="1"/>
    </xf>
    <xf numFmtId="0" fontId="23" fillId="22" borderId="29" xfId="1" applyFont="1" applyFill="1" applyBorder="1" applyAlignment="1">
      <alignment horizontal="center" vertical="center" wrapText="1"/>
    </xf>
    <xf numFmtId="0" fontId="17" fillId="0" borderId="31" xfId="0" applyFont="1" applyBorder="1" applyAlignment="1">
      <alignment horizontal="left" vertical="top" wrapText="1"/>
    </xf>
    <xf numFmtId="0" fontId="17" fillId="0" borderId="32" xfId="0" applyFont="1" applyBorder="1" applyAlignment="1">
      <alignment horizontal="left" vertical="top" wrapText="1"/>
    </xf>
    <xf numFmtId="0" fontId="17" fillId="0" borderId="53" xfId="0" applyFont="1" applyBorder="1" applyAlignment="1">
      <alignment horizontal="left" vertical="top" wrapText="1"/>
    </xf>
    <xf numFmtId="0" fontId="17" fillId="0" borderId="54" xfId="0" applyFont="1" applyBorder="1" applyAlignment="1">
      <alignment horizontal="left" vertical="top" wrapText="1"/>
    </xf>
    <xf numFmtId="0" fontId="10" fillId="22" borderId="20" xfId="0" applyFont="1" applyFill="1" applyBorder="1" applyAlignment="1">
      <alignment horizontal="center" vertical="center" wrapText="1"/>
    </xf>
    <xf numFmtId="0" fontId="10" fillId="22" borderId="23" xfId="0" applyFont="1" applyFill="1" applyBorder="1" applyAlignment="1">
      <alignment horizontal="center" vertical="center" wrapText="1"/>
    </xf>
    <xf numFmtId="0" fontId="28" fillId="22" borderId="76" xfId="1" applyFont="1" applyFill="1" applyBorder="1" applyAlignment="1">
      <alignment horizontal="center" vertical="center" wrapText="1"/>
    </xf>
    <xf numFmtId="0" fontId="28" fillId="22" borderId="77" xfId="1" applyFont="1" applyFill="1" applyBorder="1" applyAlignment="1">
      <alignment horizontal="center" vertical="center" wrapText="1"/>
    </xf>
    <xf numFmtId="0" fontId="17" fillId="33" borderId="53" xfId="0" applyFont="1" applyFill="1" applyBorder="1" applyAlignment="1">
      <alignment vertical="top" wrapText="1"/>
    </xf>
    <xf numFmtId="0" fontId="17" fillId="33" borderId="31" xfId="0" applyFont="1" applyFill="1" applyBorder="1" applyAlignment="1">
      <alignment vertical="top" wrapText="1"/>
    </xf>
    <xf numFmtId="0" fontId="17" fillId="0" borderId="78" xfId="0" applyFont="1" applyBorder="1" applyAlignment="1">
      <alignment horizontal="left" vertical="top" wrapText="1"/>
    </xf>
    <xf numFmtId="0" fontId="17" fillId="0" borderId="48" xfId="0" applyFont="1" applyBorder="1" applyAlignment="1">
      <alignment horizontal="left" vertical="top" wrapText="1"/>
    </xf>
    <xf numFmtId="0" fontId="17" fillId="0" borderId="22" xfId="0" applyFont="1" applyBorder="1" applyAlignment="1">
      <alignment horizontal="left" vertical="top" wrapText="1"/>
    </xf>
    <xf numFmtId="0" fontId="17" fillId="0" borderId="25" xfId="0" applyFont="1" applyBorder="1" applyAlignment="1">
      <alignment horizontal="left" vertical="top" wrapText="1"/>
    </xf>
    <xf numFmtId="0" fontId="28" fillId="22" borderId="22" xfId="1" applyFont="1" applyFill="1" applyBorder="1" applyAlignment="1">
      <alignment horizontal="center" vertical="center" wrapText="1"/>
    </xf>
    <xf numFmtId="0" fontId="28" fillId="22" borderId="25" xfId="1" applyFont="1" applyFill="1" applyBorder="1" applyAlignment="1">
      <alignment horizontal="center" vertical="center" wrapText="1"/>
    </xf>
    <xf numFmtId="0" fontId="17" fillId="33" borderId="20" xfId="0" applyFont="1" applyFill="1" applyBorder="1" applyAlignment="1">
      <alignment vertical="top" wrapText="1"/>
    </xf>
    <xf numFmtId="0" fontId="17" fillId="33" borderId="23" xfId="0" applyFont="1" applyFill="1" applyBorder="1" applyAlignment="1">
      <alignment vertical="top" wrapText="1"/>
    </xf>
    <xf numFmtId="0" fontId="17" fillId="0" borderId="20" xfId="0" applyFont="1" applyBorder="1" applyAlignment="1">
      <alignment horizontal="left" vertical="top" wrapText="1"/>
    </xf>
    <xf numFmtId="0" fontId="17" fillId="0" borderId="23" xfId="0" applyFont="1" applyBorder="1" applyAlignment="1">
      <alignment horizontal="left" vertical="top" wrapText="1"/>
    </xf>
    <xf numFmtId="0" fontId="61" fillId="0" borderId="0" xfId="0" applyFont="1" applyAlignment="1">
      <alignment vertical="center" wrapText="1"/>
    </xf>
    <xf numFmtId="0" fontId="61" fillId="0" borderId="26" xfId="0" applyFont="1" applyBorder="1" applyAlignment="1">
      <alignment vertical="center" wrapText="1"/>
    </xf>
    <xf numFmtId="0" fontId="17" fillId="0" borderId="21" xfId="0" applyFont="1" applyBorder="1" applyAlignment="1">
      <alignment horizontal="left" vertical="top" wrapText="1"/>
    </xf>
    <xf numFmtId="0" fontId="17" fillId="0" borderId="0" xfId="0" applyFont="1" applyAlignment="1">
      <alignment horizontal="left" vertical="top" wrapText="1"/>
    </xf>
    <xf numFmtId="0" fontId="17" fillId="0" borderId="24" xfId="0" applyFont="1" applyBorder="1" applyAlignment="1">
      <alignment horizontal="left" vertical="top" wrapText="1"/>
    </xf>
    <xf numFmtId="0" fontId="17" fillId="0" borderId="27" xfId="0" applyFont="1" applyBorder="1" applyAlignment="1">
      <alignment horizontal="left" vertical="top" wrapText="1"/>
    </xf>
    <xf numFmtId="0" fontId="17" fillId="0" borderId="73" xfId="0" applyFont="1" applyBorder="1" applyAlignment="1">
      <alignment horizontal="center"/>
    </xf>
    <xf numFmtId="0" fontId="17" fillId="0" borderId="33" xfId="0" applyFont="1" applyBorder="1" applyAlignment="1">
      <alignment horizontal="center"/>
    </xf>
    <xf numFmtId="0" fontId="17" fillId="0" borderId="21" xfId="0" applyFont="1" applyBorder="1" applyAlignment="1">
      <alignment horizontal="center"/>
    </xf>
    <xf numFmtId="0" fontId="17" fillId="0" borderId="75" xfId="0" applyFont="1" applyBorder="1" applyAlignment="1">
      <alignment horizontal="center"/>
    </xf>
    <xf numFmtId="0" fontId="17" fillId="0" borderId="34" xfId="0" applyFont="1" applyBorder="1" applyAlignment="1">
      <alignment horizontal="center"/>
    </xf>
    <xf numFmtId="0" fontId="23" fillId="22" borderId="20" xfId="1" applyFont="1" applyFill="1" applyBorder="1" applyAlignment="1">
      <alignment horizontal="center" vertical="center" wrapText="1"/>
    </xf>
    <xf numFmtId="0" fontId="23" fillId="22" borderId="26" xfId="1" applyFont="1" applyFill="1" applyBorder="1" applyAlignment="1">
      <alignment horizontal="center" vertical="center" wrapText="1"/>
    </xf>
    <xf numFmtId="0" fontId="23" fillId="22" borderId="22" xfId="1" applyFont="1" applyFill="1" applyBorder="1" applyAlignment="1">
      <alignment horizontal="center" vertical="center" wrapText="1"/>
    </xf>
    <xf numFmtId="0" fontId="23" fillId="22" borderId="27" xfId="1" applyFont="1" applyFill="1" applyBorder="1" applyAlignment="1">
      <alignment horizontal="center" vertical="center" wrapText="1"/>
    </xf>
    <xf numFmtId="0" fontId="23" fillId="22" borderId="25" xfId="1" applyFont="1" applyFill="1" applyBorder="1" applyAlignment="1">
      <alignment horizontal="center" vertical="center" wrapText="1"/>
    </xf>
    <xf numFmtId="0" fontId="17" fillId="33" borderId="56" xfId="0" applyFont="1" applyFill="1" applyBorder="1" applyAlignment="1">
      <alignment horizontal="left" vertical="top" wrapText="1"/>
    </xf>
    <xf numFmtId="0" fontId="17" fillId="33" borderId="57" xfId="0" applyFont="1" applyFill="1" applyBorder="1" applyAlignment="1">
      <alignment horizontal="left" vertical="top" wrapText="1"/>
    </xf>
    <xf numFmtId="0" fontId="17" fillId="33" borderId="58" xfId="0" applyFont="1" applyFill="1" applyBorder="1" applyAlignment="1">
      <alignment horizontal="left" vertical="top" wrapText="1"/>
    </xf>
    <xf numFmtId="0" fontId="17" fillId="0" borderId="26" xfId="0" applyFont="1" applyBorder="1" applyAlignment="1">
      <alignment horizontal="left" vertical="top" wrapText="1"/>
    </xf>
    <xf numFmtId="0" fontId="50" fillId="12" borderId="1" xfId="0" applyFont="1" applyFill="1" applyBorder="1" applyAlignment="1">
      <alignment horizontal="left" vertical="center" wrapText="1"/>
    </xf>
    <xf numFmtId="0" fontId="17" fillId="0" borderId="1" xfId="0" applyFont="1" applyBorder="1" applyAlignment="1">
      <alignment vertical="center" wrapText="1"/>
    </xf>
    <xf numFmtId="0" fontId="10" fillId="22" borderId="9" xfId="0" applyFont="1" applyFill="1" applyBorder="1" applyAlignment="1">
      <alignment horizontal="left" vertical="center" wrapText="1"/>
    </xf>
    <xf numFmtId="0" fontId="10" fillId="22" borderId="10" xfId="0" applyFont="1" applyFill="1" applyBorder="1" applyAlignment="1">
      <alignment horizontal="left" vertical="center" wrapText="1"/>
    </xf>
    <xf numFmtId="0" fontId="66" fillId="0" borderId="92" xfId="0" applyFont="1" applyBorder="1" applyAlignment="1">
      <alignment horizontal="left" vertical="top" wrapText="1"/>
    </xf>
    <xf numFmtId="0" fontId="66" fillId="0" borderId="93" xfId="0" applyFont="1" applyBorder="1" applyAlignment="1">
      <alignment horizontal="left" vertical="top" wrapText="1"/>
    </xf>
    <xf numFmtId="0" fontId="10" fillId="22" borderId="92" xfId="0" applyFont="1" applyFill="1" applyBorder="1" applyAlignment="1">
      <alignment horizontal="left"/>
    </xf>
    <xf numFmtId="0" fontId="10" fillId="22" borderId="93" xfId="0" applyFont="1" applyFill="1" applyBorder="1" applyAlignment="1">
      <alignment horizontal="left"/>
    </xf>
    <xf numFmtId="0" fontId="10" fillId="22" borderId="92" xfId="0" applyFont="1" applyFill="1" applyBorder="1" applyAlignment="1">
      <alignment horizontal="left" vertical="top" wrapText="1"/>
    </xf>
    <xf numFmtId="0" fontId="10" fillId="22" borderId="93" xfId="0" applyFont="1" applyFill="1" applyBorder="1" applyAlignment="1">
      <alignment horizontal="left" vertical="top" wrapText="1"/>
    </xf>
    <xf numFmtId="0" fontId="17" fillId="0" borderId="92" xfId="0" applyFont="1" applyBorder="1" applyAlignment="1">
      <alignment horizontal="left" vertical="top" wrapText="1"/>
    </xf>
    <xf numFmtId="0" fontId="17" fillId="0" borderId="93" xfId="0" applyFont="1" applyBorder="1" applyAlignment="1">
      <alignment horizontal="left" vertical="top" wrapText="1"/>
    </xf>
    <xf numFmtId="0" fontId="20" fillId="24" borderId="94" xfId="0" applyFont="1" applyFill="1" applyBorder="1" applyAlignment="1">
      <alignment horizontal="left" vertical="top" wrapText="1"/>
    </xf>
    <xf numFmtId="0" fontId="20" fillId="24" borderId="33" xfId="0" applyFont="1" applyFill="1" applyBorder="1" applyAlignment="1">
      <alignment horizontal="left" vertical="top" wrapText="1"/>
    </xf>
    <xf numFmtId="0" fontId="20" fillId="24" borderId="97" xfId="0" applyFont="1" applyFill="1" applyBorder="1" applyAlignment="1">
      <alignment horizontal="left" vertical="top" wrapText="1"/>
    </xf>
    <xf numFmtId="0" fontId="66" fillId="0" borderId="92" xfId="0" applyFont="1" applyBorder="1"/>
    <xf numFmtId="0" fontId="66" fillId="0" borderId="93" xfId="0" applyFont="1" applyBorder="1"/>
    <xf numFmtId="0" fontId="66" fillId="0" borderId="92" xfId="0" applyFont="1" applyBorder="1" applyAlignment="1">
      <alignment horizontal="left" vertical="top"/>
    </xf>
    <xf numFmtId="0" fontId="66" fillId="0" borderId="93" xfId="0" applyFont="1" applyBorder="1" applyAlignment="1">
      <alignment horizontal="left" vertical="top"/>
    </xf>
    <xf numFmtId="0" fontId="19" fillId="0" borderId="81" xfId="0" applyFont="1" applyBorder="1" applyAlignment="1">
      <alignment horizontal="left" vertical="top" wrapText="1"/>
    </xf>
    <xf numFmtId="0" fontId="19" fillId="0" borderId="0" xfId="0" applyFont="1" applyAlignment="1">
      <alignment horizontal="left" vertical="top" wrapText="1"/>
    </xf>
    <xf numFmtId="0" fontId="66" fillId="0" borderId="99" xfId="0" applyFont="1" applyBorder="1" applyAlignment="1">
      <alignment horizontal="left" vertical="top"/>
    </xf>
    <xf numFmtId="0" fontId="66" fillId="0" borderId="100" xfId="0" applyFont="1" applyBorder="1" applyAlignment="1">
      <alignment horizontal="left" vertical="top"/>
    </xf>
    <xf numFmtId="0" fontId="10" fillId="22" borderId="19" xfId="0" applyFont="1" applyFill="1" applyBorder="1" applyAlignment="1">
      <alignment horizontal="left" vertical="top" wrapText="1"/>
    </xf>
    <xf numFmtId="0" fontId="21" fillId="0" borderId="90" xfId="0" applyFont="1" applyBorder="1" applyAlignment="1">
      <alignment horizontal="center" vertical="center" wrapText="1"/>
    </xf>
    <xf numFmtId="0" fontId="21" fillId="0" borderId="91" xfId="0" applyFont="1" applyBorder="1" applyAlignment="1">
      <alignment horizontal="center" vertical="center" wrapText="1"/>
    </xf>
    <xf numFmtId="0" fontId="66" fillId="0" borderId="31" xfId="0" applyFont="1" applyBorder="1"/>
    <xf numFmtId="0" fontId="10" fillId="2" borderId="26" xfId="0" applyFont="1" applyFill="1" applyBorder="1" applyAlignment="1">
      <alignment horizontal="center" vertical="center" wrapText="1"/>
    </xf>
    <xf numFmtId="0" fontId="10" fillId="2" borderId="23" xfId="0" applyFont="1" applyFill="1" applyBorder="1" applyAlignment="1">
      <alignment horizontal="center" vertical="center" wrapText="1"/>
    </xf>
    <xf numFmtId="0" fontId="0" fillId="0" borderId="49" xfId="0" applyBorder="1" applyAlignment="1">
      <alignment horizontal="left" vertical="top" wrapText="1"/>
    </xf>
    <xf numFmtId="0" fontId="0" fillId="0" borderId="50" xfId="0" applyBorder="1" applyAlignment="1">
      <alignment horizontal="left" vertical="top" wrapText="1"/>
    </xf>
    <xf numFmtId="49" fontId="2" fillId="12" borderId="59" xfId="0" applyNumberFormat="1" applyFont="1" applyFill="1" applyBorder="1" applyAlignment="1">
      <alignment horizontal="left" vertical="top" wrapText="1"/>
    </xf>
    <xf numFmtId="49" fontId="2" fillId="12" borderId="6" xfId="0" applyNumberFormat="1" applyFont="1" applyFill="1" applyBorder="1" applyAlignment="1">
      <alignment horizontal="left" vertical="top" wrapText="1"/>
    </xf>
    <xf numFmtId="49" fontId="2" fillId="12" borderId="55" xfId="0" applyNumberFormat="1" applyFont="1" applyFill="1" applyBorder="1" applyAlignment="1">
      <alignment horizontal="left" vertical="top" wrapText="1"/>
    </xf>
    <xf numFmtId="0" fontId="0" fillId="0" borderId="7" xfId="0" applyBorder="1" applyAlignment="1">
      <alignment horizontal="left" vertical="top" wrapText="1"/>
    </xf>
    <xf numFmtId="0" fontId="0" fillId="0" borderId="5" xfId="0" applyBorder="1" applyAlignment="1">
      <alignment horizontal="left" vertical="top" wrapText="1"/>
    </xf>
    <xf numFmtId="0" fontId="0" fillId="0" borderId="8" xfId="0" applyBorder="1" applyAlignment="1">
      <alignment horizontal="left" vertical="top" wrapText="1"/>
    </xf>
    <xf numFmtId="0" fontId="1" fillId="42" borderId="2" xfId="0" applyFont="1" applyFill="1" applyBorder="1" applyAlignment="1">
      <alignment vertical="center"/>
    </xf>
    <xf numFmtId="0" fontId="1" fillId="42" borderId="3" xfId="0" applyFont="1" applyFill="1" applyBorder="1" applyAlignment="1">
      <alignment vertical="center"/>
    </xf>
    <xf numFmtId="0" fontId="16" fillId="42" borderId="14" xfId="0" applyFont="1" applyFill="1" applyBorder="1" applyAlignment="1" applyProtection="1">
      <alignment horizontal="left" vertical="center"/>
      <protection locked="0"/>
    </xf>
    <xf numFmtId="0" fontId="16" fillId="42" borderId="16" xfId="0" applyFont="1" applyFill="1" applyBorder="1" applyAlignment="1" applyProtection="1">
      <alignment horizontal="left" vertical="center"/>
      <protection locked="0"/>
    </xf>
  </cellXfs>
  <cellStyles count="2">
    <cellStyle name="Hyperlink" xfId="1" builtinId="8"/>
    <cellStyle name="Normal" xfId="0" builtinId="0"/>
  </cellStyles>
  <dxfs count="896">
    <dxf>
      <font>
        <b/>
        <i val="0"/>
        <strike val="0"/>
        <u val="none"/>
        <color theme="0"/>
      </font>
      <fill>
        <patternFill patternType="none">
          <bgColor auto="1"/>
        </patternFill>
      </fill>
    </dxf>
    <dxf>
      <font>
        <b/>
        <i val="0"/>
        <strike val="0"/>
        <u val="none"/>
        <color theme="0"/>
      </font>
      <fill>
        <patternFill patternType="none">
          <bgColor auto="1"/>
        </patternFill>
      </fill>
    </dxf>
    <dxf>
      <font>
        <b/>
        <i val="0"/>
        <color rgb="FF0563C1"/>
      </font>
      <border>
        <left style="thin">
          <color auto="1"/>
        </left>
        <right style="thin">
          <color auto="1"/>
        </right>
        <top style="thin">
          <color auto="1"/>
        </top>
        <bottom style="thin">
          <color auto="1"/>
        </bottom>
      </border>
    </dxf>
    <dxf>
      <font>
        <b/>
        <i val="0"/>
        <color rgb="FF0563C1"/>
      </font>
      <border>
        <left style="thin">
          <color auto="1"/>
        </left>
        <right style="thin">
          <color auto="1"/>
        </right>
        <top style="thin">
          <color auto="1"/>
        </top>
        <bottom style="thin">
          <color auto="1"/>
        </bottom>
      </border>
    </dxf>
    <dxf>
      <font>
        <b/>
        <i val="0"/>
        <color rgb="FF0563C1"/>
      </font>
      <border>
        <left style="thin">
          <color auto="1"/>
        </left>
        <right style="thin">
          <color auto="1"/>
        </right>
        <top style="thin">
          <color auto="1"/>
        </top>
        <bottom style="thin">
          <color auto="1"/>
        </bottom>
      </border>
    </dxf>
    <dxf>
      <font>
        <b/>
        <i val="0"/>
      </font>
      <fill>
        <patternFill>
          <bgColor rgb="FFB0C3E6"/>
        </patternFill>
      </fill>
    </dxf>
    <dxf>
      <font>
        <color theme="0"/>
      </font>
    </dxf>
    <dxf>
      <font>
        <b/>
        <i val="0"/>
      </font>
      <fill>
        <patternFill>
          <bgColor rgb="FFB0C3E6"/>
        </patternFill>
      </fill>
    </dxf>
    <dxf>
      <fill>
        <patternFill patternType="none">
          <bgColor auto="1"/>
        </patternFill>
      </fill>
    </dxf>
    <dxf>
      <fill>
        <patternFill patternType="none">
          <bgColor auto="1"/>
        </patternFill>
      </fill>
    </dxf>
    <dxf>
      <font>
        <b/>
        <i val="0"/>
        <u val="none"/>
        <color auto="1"/>
      </font>
      <fill>
        <patternFill>
          <bgColor theme="8" tint="0.79998168889431442"/>
        </patternFill>
      </fill>
      <border>
        <left style="thin">
          <color auto="1"/>
        </left>
        <right style="thin">
          <color auto="1"/>
        </right>
        <top style="thin">
          <color auto="1"/>
        </top>
        <bottom style="thin">
          <color auto="1"/>
        </bottom>
      </border>
    </dxf>
    <dxf>
      <font>
        <b/>
        <i val="0"/>
        <u val="none"/>
        <color auto="1"/>
      </font>
      <fill>
        <patternFill>
          <bgColor theme="8" tint="0.79998168889431442"/>
        </patternFill>
      </fill>
      <border>
        <left style="thin">
          <color auto="1"/>
        </left>
        <right style="thin">
          <color auto="1"/>
        </right>
        <top style="thin">
          <color auto="1"/>
        </top>
        <bottom style="thin">
          <color auto="1"/>
        </bottom>
      </border>
    </dxf>
    <dxf>
      <font>
        <b val="0"/>
        <i val="0"/>
        <color auto="1"/>
      </font>
      <fill>
        <patternFill patternType="none">
          <bgColor auto="1"/>
        </patternFill>
      </fill>
      <border>
        <left style="thin">
          <color auto="1"/>
        </left>
        <right style="thin">
          <color auto="1"/>
        </right>
        <top style="thin">
          <color auto="1"/>
        </top>
        <bottom style="thin">
          <color auto="1"/>
        </bottom>
      </border>
    </dxf>
    <dxf>
      <font>
        <b/>
        <i val="0"/>
        <u val="none"/>
        <color auto="1"/>
      </font>
      <fill>
        <patternFill>
          <bgColor theme="8" tint="0.79998168889431442"/>
        </patternFill>
      </fill>
      <border>
        <left style="thin">
          <color auto="1"/>
        </left>
        <right style="thin">
          <color auto="1"/>
        </right>
        <top style="thin">
          <color auto="1"/>
        </top>
        <bottom style="thin">
          <color auto="1"/>
        </bottom>
      </border>
    </dxf>
    <dxf>
      <font>
        <b/>
        <i val="0"/>
        <u/>
        <color theme="4"/>
      </font>
      <fill>
        <patternFill patternType="solid">
          <bgColor theme="0" tint="-0.14996795556505021"/>
        </patternFill>
      </fill>
      <border>
        <left style="thin">
          <color auto="1"/>
        </left>
        <right style="thin">
          <color auto="1"/>
        </right>
        <top style="thin">
          <color auto="1"/>
        </top>
        <bottom style="thin">
          <color auto="1"/>
        </bottom>
      </border>
    </dxf>
    <dxf>
      <font>
        <b/>
        <i val="0"/>
        <u/>
        <color theme="4"/>
      </font>
      <fill>
        <patternFill patternType="solid">
          <bgColor theme="0" tint="-0.14996795556505021"/>
        </patternFill>
      </fill>
      <border>
        <left style="thin">
          <color auto="1"/>
        </left>
        <right style="thin">
          <color auto="1"/>
        </right>
        <top style="thin">
          <color auto="1"/>
        </top>
        <bottom style="thin">
          <color auto="1"/>
        </bottom>
      </border>
    </dxf>
    <dxf>
      <font>
        <b/>
        <i val="0"/>
        <u/>
        <color theme="4"/>
      </font>
      <fill>
        <patternFill patternType="solid">
          <bgColor theme="0" tint="-0.14996795556505021"/>
        </patternFill>
      </fill>
      <border>
        <left style="thin">
          <color auto="1"/>
        </left>
        <right style="thin">
          <color auto="1"/>
        </right>
        <top style="thin">
          <color auto="1"/>
        </top>
        <bottom style="thin">
          <color auto="1"/>
        </bottom>
      </border>
    </dxf>
    <dxf>
      <font>
        <b/>
        <i val="0"/>
        <u val="none"/>
        <color auto="1"/>
      </font>
      <fill>
        <patternFill>
          <bgColor rgb="FFFFFF99"/>
        </patternFill>
      </fill>
      <border>
        <left style="thin">
          <color auto="1"/>
        </left>
        <right style="thin">
          <color auto="1"/>
        </right>
        <top style="thin">
          <color auto="1"/>
        </top>
        <bottom style="thin">
          <color auto="1"/>
        </bottom>
      </border>
    </dxf>
    <dxf>
      <font>
        <b/>
        <i val="0"/>
        <u val="none"/>
        <color auto="1"/>
      </font>
      <fill>
        <patternFill>
          <bgColor rgb="FFFFFF99"/>
        </patternFill>
      </fill>
      <border>
        <left style="thin">
          <color auto="1"/>
        </left>
        <right style="thin">
          <color auto="1"/>
        </right>
        <top style="thin">
          <color auto="1"/>
        </top>
        <bottom style="thin">
          <color auto="1"/>
        </bottom>
      </border>
    </dxf>
    <dxf>
      <font>
        <b/>
        <i val="0"/>
        <u val="none"/>
        <color auto="1"/>
      </font>
      <fill>
        <patternFill>
          <bgColor rgb="FFFFFF99"/>
        </patternFill>
      </fill>
      <border>
        <left style="thin">
          <color auto="1"/>
        </left>
        <right style="thin">
          <color auto="1"/>
        </right>
        <top style="thin">
          <color auto="1"/>
        </top>
        <bottom style="thin">
          <color auto="1"/>
        </bottom>
      </border>
    </dxf>
    <dxf>
      <font>
        <b val="0"/>
        <i val="0"/>
        <color auto="1"/>
      </font>
      <fill>
        <patternFill patternType="none">
          <bgColor auto="1"/>
        </patternFill>
      </fill>
      <border>
        <left style="thin">
          <color auto="1"/>
        </left>
        <right style="thin">
          <color auto="1"/>
        </right>
        <top style="thin">
          <color auto="1"/>
        </top>
        <bottom style="thin">
          <color auto="1"/>
        </bottom>
      </border>
    </dxf>
    <dxf>
      <font>
        <b val="0"/>
        <i val="0"/>
        <color auto="1"/>
      </font>
      <fill>
        <patternFill patternType="none">
          <bgColor auto="1"/>
        </patternFill>
      </fill>
      <border>
        <left style="thin">
          <color auto="1"/>
        </left>
        <right style="thin">
          <color auto="1"/>
        </right>
        <top style="thin">
          <color auto="1"/>
        </top>
        <bottom style="thin">
          <color auto="1"/>
        </bottom>
      </border>
    </dxf>
    <dxf>
      <font>
        <b val="0"/>
        <i val="0"/>
        <color auto="1"/>
      </font>
      <fill>
        <patternFill patternType="none">
          <bgColor auto="1"/>
        </patternFill>
      </fill>
      <border>
        <left style="thin">
          <color auto="1"/>
        </left>
        <right style="thin">
          <color auto="1"/>
        </right>
        <top style="thin">
          <color auto="1"/>
        </top>
        <bottom style="thin">
          <color auto="1"/>
        </bottom>
      </border>
    </dxf>
    <dxf>
      <font>
        <b val="0"/>
        <i val="0"/>
        <color auto="1"/>
      </font>
      <fill>
        <patternFill patternType="solid">
          <bgColor theme="8"/>
        </patternFill>
      </fill>
      <border>
        <left style="thin">
          <color auto="1"/>
        </left>
        <right style="thin">
          <color auto="1"/>
        </right>
        <top style="thin">
          <color auto="1"/>
        </top>
        <bottom style="thin">
          <color auto="1"/>
        </bottom>
      </border>
    </dxf>
    <dxf>
      <font>
        <b val="0"/>
        <i val="0"/>
        <color auto="1"/>
      </font>
      <fill>
        <patternFill patternType="solid">
          <bgColor theme="8"/>
        </patternFill>
      </fill>
      <border>
        <left style="thin">
          <color auto="1"/>
        </left>
        <right style="thin">
          <color auto="1"/>
        </right>
        <top style="thin">
          <color auto="1"/>
        </top>
        <bottom style="thin">
          <color auto="1"/>
        </bottom>
      </border>
    </dxf>
    <dxf>
      <font>
        <b val="0"/>
        <i val="0"/>
        <color auto="1"/>
      </font>
      <fill>
        <patternFill patternType="solid">
          <bgColor theme="8"/>
        </patternFill>
      </fill>
      <border>
        <left style="thin">
          <color auto="1"/>
        </left>
        <right style="thin">
          <color auto="1"/>
        </right>
        <top style="thin">
          <color auto="1"/>
        </top>
        <bottom style="thin">
          <color auto="1"/>
        </bottom>
      </border>
    </dxf>
    <dxf>
      <font>
        <b val="0"/>
        <i val="0"/>
        <color auto="1"/>
      </font>
      <fill>
        <patternFill patternType="solid">
          <bgColor theme="8"/>
        </patternFill>
      </fill>
      <border>
        <left style="thin">
          <color auto="1"/>
        </left>
        <right style="thin">
          <color auto="1"/>
        </right>
        <top style="thin">
          <color auto="1"/>
        </top>
        <bottom style="thin">
          <color auto="1"/>
        </bottom>
      </border>
    </dxf>
    <dxf>
      <font>
        <b val="0"/>
        <i val="0"/>
        <color auto="1"/>
      </font>
      <fill>
        <patternFill patternType="solid">
          <bgColor theme="8"/>
        </patternFill>
      </fill>
      <border>
        <left style="thin">
          <color auto="1"/>
        </left>
        <right style="thin">
          <color auto="1"/>
        </right>
        <top style="thin">
          <color auto="1"/>
        </top>
        <bottom style="thin">
          <color auto="1"/>
        </bottom>
      </border>
    </dxf>
    <dxf>
      <font>
        <b val="0"/>
        <i val="0"/>
        <color auto="1"/>
      </font>
      <fill>
        <patternFill patternType="solid">
          <bgColor theme="8"/>
        </patternFill>
      </fill>
      <border>
        <left style="thin">
          <color auto="1"/>
        </left>
        <right style="thin">
          <color auto="1"/>
        </right>
        <top style="thin">
          <color auto="1"/>
        </top>
        <bottom style="thin">
          <color auto="1"/>
        </bottom>
      </border>
    </dxf>
    <dxf>
      <font>
        <b/>
        <i val="0"/>
        <u val="none"/>
        <color auto="1"/>
      </font>
      <fill>
        <patternFill>
          <bgColor theme="0" tint="-0.14996795556505021"/>
        </patternFill>
      </fill>
      <border>
        <left style="thin">
          <color auto="1"/>
        </left>
        <right style="thin">
          <color auto="1"/>
        </right>
        <top style="thin">
          <color auto="1"/>
        </top>
        <bottom style="thin">
          <color auto="1"/>
        </bottom>
      </border>
    </dxf>
    <dxf>
      <font>
        <b/>
        <i val="0"/>
        <u val="none"/>
        <color auto="1"/>
      </font>
      <fill>
        <patternFill>
          <bgColor theme="0" tint="-0.14996795556505021"/>
        </patternFill>
      </fill>
      <border>
        <left style="thin">
          <color auto="1"/>
        </left>
        <right style="thin">
          <color auto="1"/>
        </right>
        <top style="thin">
          <color auto="1"/>
        </top>
        <bottom style="thin">
          <color auto="1"/>
        </bottom>
      </border>
    </dxf>
    <dxf>
      <font>
        <b/>
        <i val="0"/>
        <u val="none"/>
        <color auto="1"/>
      </font>
      <fill>
        <patternFill>
          <bgColor theme="0" tint="-0.14996795556505021"/>
        </patternFill>
      </fill>
      <border>
        <left style="thin">
          <color auto="1"/>
        </left>
        <right style="thin">
          <color auto="1"/>
        </right>
        <top style="thin">
          <color auto="1"/>
        </top>
        <bottom style="thin">
          <color auto="1"/>
        </bottom>
      </border>
    </dxf>
    <dxf>
      <font>
        <b/>
        <i val="0"/>
        <color theme="0"/>
      </font>
      <fill>
        <patternFill>
          <bgColor theme="8" tint="-0.499984740745262"/>
        </patternFill>
      </fill>
      <border>
        <left style="thin">
          <color auto="1"/>
        </left>
        <right style="thin">
          <color auto="1"/>
        </right>
        <top style="thin">
          <color auto="1"/>
        </top>
        <bottom style="thin">
          <color auto="1"/>
        </bottom>
      </border>
    </dxf>
    <dxf>
      <font>
        <b/>
        <i val="0"/>
        <color theme="0"/>
      </font>
      <fill>
        <patternFill>
          <bgColor theme="8" tint="-0.499984740745262"/>
        </patternFill>
      </fill>
      <border>
        <left style="thin">
          <color auto="1"/>
        </left>
        <right style="thin">
          <color auto="1"/>
        </right>
        <top style="thin">
          <color auto="1"/>
        </top>
        <bottom style="thin">
          <color auto="1"/>
        </bottom>
      </border>
    </dxf>
    <dxf>
      <font>
        <b/>
        <i val="0"/>
        <color theme="0"/>
      </font>
      <fill>
        <patternFill>
          <bgColor theme="8" tint="-0.499984740745262"/>
        </patternFill>
      </fill>
      <border>
        <left style="thin">
          <color auto="1"/>
        </left>
        <right style="thin">
          <color auto="1"/>
        </right>
        <top style="thin">
          <color auto="1"/>
        </top>
        <bottom style="thin">
          <color auto="1"/>
        </bottom>
      </border>
    </dxf>
    <dxf>
      <font>
        <b/>
        <i val="0"/>
        <color theme="0"/>
      </font>
      <fill>
        <patternFill>
          <bgColor theme="8" tint="-0.499984740745262"/>
        </patternFill>
      </fill>
      <border>
        <left style="thin">
          <color auto="1"/>
        </left>
        <right style="thin">
          <color auto="1"/>
        </right>
        <top style="thin">
          <color auto="1"/>
        </top>
        <bottom style="thin">
          <color auto="1"/>
        </bottom>
      </border>
    </dxf>
    <dxf>
      <font>
        <b/>
        <i val="0"/>
        <color theme="0"/>
      </font>
      <fill>
        <patternFill>
          <bgColor theme="8" tint="-0.499984740745262"/>
        </patternFill>
      </fill>
      <border>
        <left style="thin">
          <color auto="1"/>
        </left>
        <right style="thin">
          <color auto="1"/>
        </right>
        <top style="thin">
          <color auto="1"/>
        </top>
        <bottom style="thin">
          <color auto="1"/>
        </bottom>
      </border>
    </dxf>
    <dxf>
      <font>
        <b/>
        <i val="0"/>
        <color theme="0"/>
      </font>
      <fill>
        <patternFill>
          <bgColor theme="8" tint="-0.499984740745262"/>
        </patternFill>
      </fill>
      <border>
        <left style="thin">
          <color auto="1"/>
        </left>
        <right style="thin">
          <color auto="1"/>
        </right>
        <top style="thin">
          <color auto="1"/>
        </top>
        <bottom style="thin">
          <color auto="1"/>
        </bottom>
      </border>
    </dxf>
    <dxf>
      <font>
        <b/>
        <i val="0"/>
        <color theme="0"/>
      </font>
      <fill>
        <patternFill>
          <bgColor theme="8" tint="-0.499984740745262"/>
        </patternFill>
      </fill>
      <border>
        <left style="thin">
          <color auto="1"/>
        </left>
        <right style="thin">
          <color auto="1"/>
        </right>
        <top style="thin">
          <color auto="1"/>
        </top>
        <bottom style="thin">
          <color auto="1"/>
        </bottom>
      </border>
    </dxf>
    <dxf>
      <font>
        <b/>
        <i val="0"/>
        <color theme="0"/>
      </font>
      <fill>
        <patternFill>
          <bgColor theme="8" tint="-0.499984740745262"/>
        </patternFill>
      </fill>
      <border>
        <left style="thin">
          <color auto="1"/>
        </left>
        <right style="thin">
          <color auto="1"/>
        </right>
        <top style="thin">
          <color auto="1"/>
        </top>
        <bottom style="thin">
          <color auto="1"/>
        </bottom>
      </border>
    </dxf>
    <dxf>
      <font>
        <color theme="0"/>
      </font>
      <fill>
        <patternFill patternType="none">
          <bgColor auto="1"/>
        </patternFill>
      </fill>
      <border>
        <left/>
        <right/>
        <top/>
        <bottom/>
        <vertical/>
        <horizontal/>
      </border>
    </dxf>
    <dxf>
      <font>
        <b val="0"/>
        <i val="0"/>
        <color auto="1"/>
      </font>
      <fill>
        <patternFill patternType="none">
          <bgColor auto="1"/>
        </patternFill>
      </fill>
      <border>
        <left style="thin">
          <color auto="1"/>
        </left>
        <right style="thin">
          <color auto="1"/>
        </right>
        <top style="thin">
          <color auto="1"/>
        </top>
        <bottom style="thin">
          <color auto="1"/>
        </bottom>
      </border>
    </dxf>
    <dxf>
      <font>
        <b/>
        <i val="0"/>
        <u val="none"/>
        <color auto="1"/>
      </font>
      <fill>
        <patternFill>
          <bgColor theme="8" tint="0.79998168889431442"/>
        </patternFill>
      </fill>
      <border>
        <left style="thin">
          <color auto="1"/>
        </left>
        <right style="thin">
          <color auto="1"/>
        </right>
        <top style="thin">
          <color auto="1"/>
        </top>
        <bottom style="thin">
          <color auto="1"/>
        </bottom>
      </border>
    </dxf>
    <dxf>
      <font>
        <b/>
        <i val="0"/>
        <color theme="0"/>
      </font>
      <fill>
        <patternFill>
          <bgColor theme="8" tint="-0.499984740745262"/>
        </patternFill>
      </fill>
      <border>
        <left style="thin">
          <color auto="1"/>
        </left>
        <right style="thin">
          <color auto="1"/>
        </right>
        <top style="thin">
          <color auto="1"/>
        </top>
        <bottom style="thin">
          <color auto="1"/>
        </bottom>
      </border>
    </dxf>
    <dxf>
      <font>
        <b val="0"/>
        <i val="0"/>
        <color auto="1"/>
      </font>
      <fill>
        <patternFill patternType="none">
          <bgColor auto="1"/>
        </patternFill>
      </fill>
      <border>
        <left style="thin">
          <color auto="1"/>
        </left>
        <right style="thin">
          <color auto="1"/>
        </right>
        <top style="thin">
          <color auto="1"/>
        </top>
        <bottom style="thin">
          <color auto="1"/>
        </bottom>
      </border>
    </dxf>
    <dxf>
      <font>
        <b/>
        <i val="0"/>
        <u val="none"/>
        <color auto="1"/>
      </font>
      <fill>
        <patternFill>
          <bgColor theme="8" tint="0.79998168889431442"/>
        </patternFill>
      </fill>
      <border>
        <left style="thin">
          <color auto="1"/>
        </left>
        <right style="thin">
          <color auto="1"/>
        </right>
        <top style="thin">
          <color auto="1"/>
        </top>
        <bottom style="thin">
          <color auto="1"/>
        </bottom>
      </border>
    </dxf>
    <dxf>
      <font>
        <b/>
        <i val="0"/>
        <color theme="0"/>
      </font>
      <fill>
        <patternFill>
          <bgColor theme="8" tint="-0.499984740745262"/>
        </patternFill>
      </fill>
      <border>
        <left style="thin">
          <color auto="1"/>
        </left>
        <right style="thin">
          <color auto="1"/>
        </right>
        <top style="thin">
          <color auto="1"/>
        </top>
        <bottom style="thin">
          <color auto="1"/>
        </bottom>
      </border>
    </dxf>
    <dxf>
      <font>
        <b/>
        <i val="0"/>
        <color theme="0"/>
      </font>
      <fill>
        <patternFill>
          <bgColor theme="8" tint="-0.499984740745262"/>
        </patternFill>
      </fill>
      <border>
        <left style="thin">
          <color auto="1"/>
        </left>
        <right style="thin">
          <color auto="1"/>
        </right>
        <top style="thin">
          <color auto="1"/>
        </top>
        <bottom style="thin">
          <color auto="1"/>
        </bottom>
      </border>
    </dxf>
    <dxf>
      <font>
        <b/>
        <i val="0"/>
        <u val="none"/>
        <color auto="1"/>
      </font>
      <fill>
        <patternFill>
          <bgColor theme="8" tint="0.79998168889431442"/>
        </patternFill>
      </fill>
      <border>
        <left style="thin">
          <color auto="1"/>
        </left>
        <right style="thin">
          <color auto="1"/>
        </right>
        <top style="thin">
          <color auto="1"/>
        </top>
        <bottom style="thin">
          <color auto="1"/>
        </bottom>
      </border>
    </dxf>
    <dxf>
      <font>
        <b val="0"/>
        <i val="0"/>
        <color auto="1"/>
      </font>
      <fill>
        <patternFill patternType="none">
          <bgColor auto="1"/>
        </patternFill>
      </fill>
      <border>
        <left style="thin">
          <color auto="1"/>
        </left>
        <right style="thin">
          <color auto="1"/>
        </right>
        <top style="thin">
          <color auto="1"/>
        </top>
        <bottom style="thin">
          <color auto="1"/>
        </bottom>
      </border>
    </dxf>
    <dxf>
      <font>
        <b val="0"/>
        <i val="0"/>
        <color auto="1"/>
      </font>
      <fill>
        <patternFill patternType="none">
          <bgColor auto="1"/>
        </patternFill>
      </fill>
      <border>
        <left style="thin">
          <color auto="1"/>
        </left>
        <right style="thin">
          <color auto="1"/>
        </right>
        <top style="thin">
          <color auto="1"/>
        </top>
        <bottom style="thin">
          <color auto="1"/>
        </bottom>
      </border>
    </dxf>
    <dxf>
      <font>
        <b/>
        <i val="0"/>
        <u val="none"/>
        <color auto="1"/>
      </font>
      <fill>
        <patternFill>
          <bgColor theme="8" tint="0.79998168889431442"/>
        </patternFill>
      </fill>
      <border>
        <left style="thin">
          <color auto="1"/>
        </left>
        <right style="thin">
          <color auto="1"/>
        </right>
        <top style="thin">
          <color auto="1"/>
        </top>
        <bottom style="thin">
          <color auto="1"/>
        </bottom>
      </border>
    </dxf>
    <dxf>
      <font>
        <b/>
        <i val="0"/>
        <color theme="0"/>
      </font>
      <fill>
        <patternFill>
          <bgColor theme="8" tint="-0.499984740745262"/>
        </patternFill>
      </fill>
      <border>
        <left style="thin">
          <color auto="1"/>
        </left>
        <right style="thin">
          <color auto="1"/>
        </right>
        <top style="thin">
          <color auto="1"/>
        </top>
        <bottom style="thin">
          <color auto="1"/>
        </bottom>
      </border>
    </dxf>
    <dxf>
      <font>
        <b/>
        <i val="0"/>
        <color auto="1"/>
      </font>
      <fill>
        <patternFill>
          <bgColor theme="0" tint="-0.14996795556505021"/>
        </patternFill>
      </fill>
      <border>
        <left style="thin">
          <color auto="1"/>
        </left>
        <right style="thin">
          <color auto="1"/>
        </right>
        <top style="thin">
          <color auto="1"/>
        </top>
        <bottom style="thin">
          <color auto="1"/>
        </bottom>
      </border>
    </dxf>
    <dxf>
      <font>
        <b/>
        <i val="0"/>
        <u/>
        <color theme="4"/>
      </font>
      <fill>
        <patternFill patternType="solid">
          <bgColor theme="0" tint="-0.14996795556505021"/>
        </patternFill>
      </fill>
      <border>
        <left style="thin">
          <color auto="1"/>
        </left>
        <right style="thin">
          <color auto="1"/>
        </right>
        <top style="thin">
          <color auto="1"/>
        </top>
        <bottom style="thin">
          <color auto="1"/>
        </bottom>
      </border>
    </dxf>
    <dxf>
      <font>
        <b/>
        <i val="0"/>
        <u val="none"/>
        <color auto="1"/>
      </font>
      <fill>
        <patternFill>
          <bgColor theme="0" tint="-0.14996795556505021"/>
        </patternFill>
      </fill>
      <border>
        <left style="thin">
          <color auto="1"/>
        </left>
        <right style="thin">
          <color auto="1"/>
        </right>
        <top style="thin">
          <color auto="1"/>
        </top>
        <bottom style="thin">
          <color auto="1"/>
        </bottom>
      </border>
    </dxf>
    <dxf>
      <font>
        <b/>
        <i val="0"/>
        <u/>
        <color theme="4"/>
      </font>
      <fill>
        <patternFill patternType="solid">
          <bgColor theme="0" tint="-0.14996795556505021"/>
        </patternFill>
      </fill>
      <border>
        <left style="thin">
          <color auto="1"/>
        </left>
        <right style="thin">
          <color auto="1"/>
        </right>
        <top style="thin">
          <color auto="1"/>
        </top>
        <bottom style="thin">
          <color auto="1"/>
        </bottom>
      </border>
    </dxf>
    <dxf>
      <font>
        <b val="0"/>
        <i val="0"/>
        <color auto="1"/>
      </font>
      <fill>
        <patternFill patternType="none">
          <bgColor auto="1"/>
        </patternFill>
      </fill>
      <border>
        <left style="thin">
          <color auto="1"/>
        </left>
        <right style="thin">
          <color auto="1"/>
        </right>
        <top style="thin">
          <color auto="1"/>
        </top>
        <bottom style="thin">
          <color auto="1"/>
        </bottom>
      </border>
    </dxf>
    <dxf>
      <font>
        <b/>
        <i val="0"/>
        <u/>
        <color theme="4"/>
      </font>
      <fill>
        <patternFill patternType="solid">
          <bgColor theme="0" tint="-0.14996795556505021"/>
        </patternFill>
      </fill>
      <border>
        <left style="thin">
          <color auto="1"/>
        </left>
        <right style="thin">
          <color auto="1"/>
        </right>
        <top style="thin">
          <color auto="1"/>
        </top>
        <bottom style="thin">
          <color auto="1"/>
        </bottom>
      </border>
    </dxf>
    <dxf>
      <font>
        <b/>
        <i val="0"/>
        <color auto="1"/>
      </font>
      <fill>
        <patternFill>
          <bgColor theme="0" tint="-0.14996795556505021"/>
        </patternFill>
      </fill>
      <border>
        <left style="thin">
          <color auto="1"/>
        </left>
        <right style="thin">
          <color auto="1"/>
        </right>
        <top style="thin">
          <color auto="1"/>
        </top>
        <bottom style="thin">
          <color auto="1"/>
        </bottom>
      </border>
    </dxf>
    <dxf>
      <font>
        <b/>
        <i val="0"/>
        <u val="none"/>
        <color auto="1"/>
      </font>
      <fill>
        <patternFill>
          <bgColor rgb="FFFFFF99"/>
        </patternFill>
      </fill>
      <border>
        <left style="thin">
          <color auto="1"/>
        </left>
        <right style="thin">
          <color auto="1"/>
        </right>
        <top style="thin">
          <color auto="1"/>
        </top>
        <bottom style="thin">
          <color auto="1"/>
        </bottom>
      </border>
    </dxf>
    <dxf>
      <font>
        <b val="0"/>
        <i val="0"/>
        <color auto="1"/>
      </font>
      <fill>
        <patternFill patternType="none">
          <bgColor auto="1"/>
        </patternFill>
      </fill>
      <border>
        <left style="thin">
          <color auto="1"/>
        </left>
        <right style="thin">
          <color auto="1"/>
        </right>
        <top style="thin">
          <color auto="1"/>
        </top>
        <bottom style="thin">
          <color auto="1"/>
        </bottom>
      </border>
    </dxf>
    <dxf>
      <font>
        <b/>
        <i val="0"/>
        <u val="none"/>
        <color auto="1"/>
      </font>
      <fill>
        <patternFill>
          <bgColor rgb="FFFFFF99"/>
        </patternFill>
      </fill>
      <border>
        <left style="thin">
          <color auto="1"/>
        </left>
        <right style="thin">
          <color auto="1"/>
        </right>
        <top style="thin">
          <color auto="1"/>
        </top>
        <bottom style="thin">
          <color auto="1"/>
        </bottom>
      </border>
    </dxf>
    <dxf>
      <font>
        <b/>
        <i val="0"/>
        <color auto="1"/>
      </font>
      <fill>
        <patternFill>
          <bgColor theme="0" tint="-0.14996795556505021"/>
        </patternFill>
      </fill>
      <border>
        <left style="thin">
          <color auto="1"/>
        </left>
        <right style="thin">
          <color auto="1"/>
        </right>
        <top style="thin">
          <color auto="1"/>
        </top>
        <bottom style="thin">
          <color auto="1"/>
        </bottom>
      </border>
    </dxf>
    <dxf>
      <font>
        <b/>
        <i val="0"/>
        <color auto="1"/>
      </font>
      <fill>
        <patternFill>
          <bgColor theme="0" tint="-0.14996795556505021"/>
        </patternFill>
      </fill>
      <border>
        <left style="thin">
          <color auto="1"/>
        </left>
        <right style="thin">
          <color auto="1"/>
        </right>
        <top style="thin">
          <color auto="1"/>
        </top>
        <bottom style="thin">
          <color auto="1"/>
        </bottom>
      </border>
    </dxf>
    <dxf>
      <font>
        <b/>
        <i val="0"/>
        <u/>
        <color theme="4"/>
      </font>
      <fill>
        <patternFill patternType="solid">
          <bgColor theme="0" tint="-0.14996795556505021"/>
        </patternFill>
      </fill>
      <border>
        <left style="thin">
          <color auto="1"/>
        </left>
        <right style="thin">
          <color auto="1"/>
        </right>
        <top style="thin">
          <color auto="1"/>
        </top>
        <bottom style="thin">
          <color auto="1"/>
        </bottom>
      </border>
    </dxf>
    <dxf>
      <font>
        <b val="0"/>
        <i val="0"/>
        <color auto="1"/>
      </font>
      <fill>
        <patternFill patternType="none">
          <bgColor auto="1"/>
        </patternFill>
      </fill>
      <border>
        <left style="thin">
          <color auto="1"/>
        </left>
        <right style="thin">
          <color auto="1"/>
        </right>
        <top style="thin">
          <color auto="1"/>
        </top>
        <bottom style="thin">
          <color auto="1"/>
        </bottom>
      </border>
    </dxf>
    <dxf>
      <font>
        <b val="0"/>
        <i val="0"/>
        <color auto="1"/>
      </font>
      <fill>
        <patternFill patternType="none">
          <bgColor auto="1"/>
        </patternFill>
      </fill>
      <border>
        <left style="thin">
          <color auto="1"/>
        </left>
        <right style="thin">
          <color auto="1"/>
        </right>
        <top style="thin">
          <color auto="1"/>
        </top>
        <bottom style="thin">
          <color auto="1"/>
        </bottom>
      </border>
    </dxf>
    <dxf>
      <font>
        <b val="0"/>
        <i val="0"/>
        <color auto="1"/>
      </font>
      <fill>
        <patternFill patternType="none">
          <bgColor auto="1"/>
        </patternFill>
      </fill>
      <border>
        <left style="thin">
          <color auto="1"/>
        </left>
        <right style="thin">
          <color auto="1"/>
        </right>
        <top style="thin">
          <color auto="1"/>
        </top>
        <bottom style="thin">
          <color auto="1"/>
        </bottom>
      </border>
    </dxf>
    <dxf>
      <font>
        <b/>
        <i val="0"/>
        <u val="none"/>
        <color auto="1"/>
      </font>
      <fill>
        <patternFill>
          <bgColor rgb="FFFFFF99"/>
        </patternFill>
      </fill>
      <border>
        <left style="thin">
          <color auto="1"/>
        </left>
        <right style="thin">
          <color auto="1"/>
        </right>
        <top style="thin">
          <color auto="1"/>
        </top>
        <bottom style="thin">
          <color auto="1"/>
        </bottom>
      </border>
    </dxf>
    <dxf>
      <font>
        <b/>
        <i val="0"/>
        <u val="none"/>
        <color auto="1"/>
      </font>
      <fill>
        <patternFill>
          <bgColor rgb="FFFFFF99"/>
        </patternFill>
      </fill>
      <border>
        <left style="thin">
          <color auto="1"/>
        </left>
        <right style="thin">
          <color auto="1"/>
        </right>
        <top style="thin">
          <color auto="1"/>
        </top>
        <bottom style="thin">
          <color auto="1"/>
        </bottom>
      </border>
    </dxf>
    <dxf>
      <font>
        <b val="0"/>
        <i val="0"/>
        <color auto="1"/>
      </font>
      <fill>
        <patternFill patternType="solid">
          <bgColor theme="8"/>
        </patternFill>
      </fill>
      <border>
        <left style="thin">
          <color auto="1"/>
        </left>
        <right style="thin">
          <color auto="1"/>
        </right>
        <top style="thin">
          <color auto="1"/>
        </top>
        <bottom style="thin">
          <color auto="1"/>
        </bottom>
      </border>
    </dxf>
    <dxf>
      <font>
        <b val="0"/>
        <i val="0"/>
        <color auto="1"/>
      </font>
      <fill>
        <patternFill patternType="solid">
          <bgColor theme="8"/>
        </patternFill>
      </fill>
      <border>
        <left style="thin">
          <color auto="1"/>
        </left>
        <right style="thin">
          <color auto="1"/>
        </right>
        <top style="thin">
          <color auto="1"/>
        </top>
        <bottom style="thin">
          <color auto="1"/>
        </bottom>
      </border>
    </dxf>
    <dxf>
      <font>
        <b val="0"/>
        <i val="0"/>
        <color auto="1"/>
      </font>
      <fill>
        <patternFill patternType="none">
          <bgColor auto="1"/>
        </patternFill>
      </fill>
      <border>
        <left style="thin">
          <color auto="1"/>
        </left>
        <right style="thin">
          <color auto="1"/>
        </right>
        <top style="thin">
          <color auto="1"/>
        </top>
        <bottom style="thin">
          <color auto="1"/>
        </bottom>
      </border>
    </dxf>
    <dxf>
      <font>
        <b/>
        <i val="0"/>
        <color theme="0"/>
      </font>
      <fill>
        <patternFill>
          <bgColor theme="8" tint="-0.499984740745262"/>
        </patternFill>
      </fill>
      <border>
        <left style="thin">
          <color auto="1"/>
        </left>
        <right style="thin">
          <color auto="1"/>
        </right>
        <top style="thin">
          <color auto="1"/>
        </top>
        <bottom style="thin">
          <color auto="1"/>
        </bottom>
      </border>
    </dxf>
    <dxf>
      <font>
        <b/>
        <i val="0"/>
        <color theme="0"/>
      </font>
      <fill>
        <patternFill>
          <bgColor theme="8" tint="-0.499984740745262"/>
        </patternFill>
      </fill>
      <border>
        <left style="thin">
          <color auto="1"/>
        </left>
        <right style="thin">
          <color auto="1"/>
        </right>
        <top style="thin">
          <color auto="1"/>
        </top>
        <bottom style="thin">
          <color auto="1"/>
        </bottom>
      </border>
    </dxf>
    <dxf>
      <font>
        <b/>
        <i val="0"/>
        <color theme="0"/>
      </font>
      <fill>
        <patternFill>
          <bgColor theme="8" tint="-0.499984740745262"/>
        </patternFill>
      </fill>
      <border>
        <left style="thin">
          <color auto="1"/>
        </left>
        <right style="thin">
          <color auto="1"/>
        </right>
        <top style="thin">
          <color auto="1"/>
        </top>
        <bottom style="thin">
          <color auto="1"/>
        </bottom>
      </border>
    </dxf>
    <dxf>
      <font>
        <b val="0"/>
        <i val="0"/>
        <color auto="1"/>
      </font>
      <fill>
        <patternFill patternType="none">
          <bgColor auto="1"/>
        </patternFill>
      </fill>
      <border>
        <left style="thin">
          <color auto="1"/>
        </left>
        <right style="thin">
          <color auto="1"/>
        </right>
        <top style="thin">
          <color auto="1"/>
        </top>
        <bottom style="thin">
          <color auto="1"/>
        </bottom>
      </border>
    </dxf>
    <dxf>
      <font>
        <b/>
        <i val="0"/>
        <color theme="0"/>
      </font>
      <fill>
        <patternFill>
          <bgColor theme="8" tint="-0.499984740745262"/>
        </patternFill>
      </fill>
      <border>
        <left style="thin">
          <color auto="1"/>
        </left>
        <right style="thin">
          <color auto="1"/>
        </right>
        <top style="thin">
          <color auto="1"/>
        </top>
        <bottom style="thin">
          <color auto="1"/>
        </bottom>
      </border>
    </dxf>
    <dxf>
      <font>
        <b/>
        <i val="0"/>
        <u val="none"/>
        <color auto="1"/>
      </font>
      <fill>
        <patternFill>
          <bgColor theme="8" tint="0.79998168889431442"/>
        </patternFill>
      </fill>
      <border>
        <left style="thin">
          <color auto="1"/>
        </left>
        <right style="thin">
          <color auto="1"/>
        </right>
        <top style="thin">
          <color auto="1"/>
        </top>
        <bottom style="thin">
          <color auto="1"/>
        </bottom>
      </border>
    </dxf>
    <dxf>
      <font>
        <b val="0"/>
        <i val="0"/>
        <color auto="1"/>
      </font>
      <fill>
        <patternFill patternType="none">
          <bgColor auto="1"/>
        </patternFill>
      </fill>
      <border>
        <left style="thin">
          <color auto="1"/>
        </left>
        <right style="thin">
          <color auto="1"/>
        </right>
        <top style="thin">
          <color auto="1"/>
        </top>
        <bottom style="thin">
          <color auto="1"/>
        </bottom>
      </border>
    </dxf>
    <dxf>
      <font>
        <b/>
        <i val="0"/>
        <color theme="0"/>
      </font>
      <fill>
        <patternFill>
          <bgColor theme="8" tint="-0.499984740745262"/>
        </patternFill>
      </fill>
      <border>
        <left style="thin">
          <color auto="1"/>
        </left>
        <right style="thin">
          <color auto="1"/>
        </right>
        <top style="thin">
          <color auto="1"/>
        </top>
        <bottom style="thin">
          <color auto="1"/>
        </bottom>
      </border>
    </dxf>
    <dxf>
      <font>
        <b val="0"/>
        <i val="0"/>
        <color theme="0" tint="-0.24994659260841701"/>
      </font>
      <fill>
        <patternFill patternType="none">
          <bgColor auto="1"/>
        </patternFill>
      </fill>
    </dxf>
    <dxf>
      <font>
        <b val="0"/>
        <i val="0"/>
        <color theme="0" tint="-0.24994659260841701"/>
      </font>
      <fill>
        <patternFill patternType="none">
          <bgColor auto="1"/>
        </patternFill>
      </fill>
    </dxf>
    <dxf>
      <fill>
        <patternFill>
          <bgColor theme="0"/>
        </patternFill>
      </fill>
    </dxf>
    <dxf>
      <font>
        <b val="0"/>
        <i val="0"/>
        <color theme="0" tint="-0.24994659260841701"/>
      </font>
      <fill>
        <patternFill patternType="none">
          <bgColor auto="1"/>
        </patternFill>
      </fill>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color theme="0" tint="-0.24994659260841701"/>
      </font>
    </dxf>
    <dxf>
      <font>
        <color theme="0" tint="-0.24994659260841701"/>
      </font>
    </dxf>
    <dxf>
      <font>
        <color theme="0" tint="-0.24994659260841701"/>
      </font>
    </dxf>
    <dxf>
      <font>
        <color theme="0" tint="-0.24994659260841701"/>
      </font>
    </dxf>
    <dxf>
      <font>
        <b val="0"/>
        <i val="0"/>
        <color theme="2"/>
      </font>
      <fill>
        <patternFill patternType="solid">
          <bgColor theme="2"/>
        </patternFill>
      </fill>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color theme="0" tint="-0.24994659260841701"/>
      </font>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dxf>
    <dxf>
      <font>
        <color theme="0" tint="-0.24994659260841701"/>
      </font>
    </dxf>
    <dxf>
      <font>
        <color theme="0" tint="-0.24994659260841701"/>
      </font>
    </dxf>
    <dxf>
      <font>
        <color theme="0" tint="-0.24994659260841701"/>
      </font>
    </dxf>
    <dxf>
      <font>
        <color theme="0" tint="-0.24994659260841701"/>
      </font>
    </dxf>
    <dxf>
      <font>
        <b val="0"/>
        <i val="0"/>
        <color theme="0" tint="-0.24994659260841701"/>
      </font>
      <fill>
        <patternFill patternType="none">
          <bgColor auto="1"/>
        </patternFill>
      </fill>
      <border>
        <left/>
      </border>
    </dxf>
    <dxf>
      <font>
        <color theme="0" tint="-0.24994659260841701"/>
      </font>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dxf>
    <dxf>
      <font>
        <color theme="0" tint="-0.24994659260841701"/>
      </font>
    </dxf>
    <dxf>
      <font>
        <color theme="0" tint="-0.24994659260841701"/>
      </font>
    </dxf>
    <dxf>
      <font>
        <color theme="0" tint="-0.24994659260841701"/>
      </font>
    </dxf>
    <dxf>
      <font>
        <color theme="0" tint="-0.24994659260841701"/>
      </font>
    </dxf>
    <dxf>
      <font>
        <b val="0"/>
        <i val="0"/>
        <color theme="2"/>
      </font>
      <fill>
        <patternFill patternType="solid">
          <bgColor theme="2"/>
        </patternFill>
      </fill>
    </dxf>
    <dxf>
      <font>
        <color theme="0" tint="-0.24994659260841701"/>
      </font>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color theme="0" tint="-0.24994659260841701"/>
      </font>
    </dxf>
    <dxf>
      <font>
        <color theme="0" tint="-0.24994659260841701"/>
      </font>
    </dxf>
    <dxf>
      <font>
        <color theme="0" tint="-0.24994659260841701"/>
      </font>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dxf>
    <dxf>
      <font>
        <color theme="0" tint="-0.24994659260841701"/>
      </font>
    </dxf>
    <dxf>
      <font>
        <color theme="0" tint="-0.24994659260841701"/>
      </font>
    </dxf>
    <dxf>
      <font>
        <color theme="0" tint="-0.24994659260841701"/>
      </font>
    </dxf>
    <dxf>
      <font>
        <b val="0"/>
        <i val="0"/>
        <color theme="2"/>
      </font>
      <fill>
        <patternFill patternType="solid">
          <bgColor theme="2"/>
        </patternFill>
      </fill>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color theme="0" tint="-0.24994659260841701"/>
      </font>
    </dxf>
    <dxf>
      <font>
        <color theme="0" tint="-0.24994659260841701"/>
      </font>
    </dxf>
    <dxf>
      <font>
        <b val="0"/>
        <i val="0"/>
        <color theme="2"/>
      </font>
      <fill>
        <patternFill patternType="solid">
          <bgColor theme="2"/>
        </patternFill>
      </fill>
    </dxf>
    <dxf>
      <font>
        <color theme="0" tint="-0.24994659260841701"/>
      </font>
    </dxf>
    <dxf>
      <font>
        <b val="0"/>
        <i val="0"/>
        <color theme="0" tint="-0.24994659260841701"/>
      </font>
      <fill>
        <patternFill patternType="none">
          <bgColor auto="1"/>
        </patternFill>
      </fill>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color theme="0" tint="-0.24994659260841701"/>
      </font>
    </dxf>
    <dxf>
      <font>
        <b val="0"/>
        <i val="0"/>
        <color theme="0" tint="-0.24994659260841701"/>
      </font>
      <fill>
        <patternFill patternType="none">
          <bgColor auto="1"/>
        </patternFill>
      </fill>
      <border>
        <left/>
      </border>
    </dxf>
    <dxf>
      <font>
        <color theme="0" tint="-0.24994659260841701"/>
      </font>
    </dxf>
    <dxf>
      <font>
        <color theme="0" tint="-0.24994659260841701"/>
      </font>
    </dxf>
    <dxf>
      <font>
        <color theme="0" tint="-0.24994659260841701"/>
      </font>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dxf>
    <dxf>
      <font>
        <color theme="0" tint="-0.24994659260841701"/>
      </font>
    </dxf>
    <dxf>
      <font>
        <color theme="0" tint="-0.24994659260841701"/>
      </font>
    </dxf>
    <dxf>
      <font>
        <color theme="0" tint="-0.24994659260841701"/>
      </font>
    </dxf>
    <dxf>
      <font>
        <b val="0"/>
        <i val="0"/>
        <color theme="0" tint="-0.24994659260841701"/>
      </font>
      <fill>
        <patternFill patternType="none">
          <bgColor auto="1"/>
        </patternFill>
      </fill>
      <border>
        <left/>
      </border>
    </dxf>
    <dxf>
      <font>
        <color theme="0" tint="-0.24994659260841701"/>
      </font>
    </dxf>
    <dxf>
      <font>
        <b val="0"/>
        <i val="0"/>
        <color theme="2"/>
      </font>
      <fill>
        <patternFill patternType="solid">
          <bgColor theme="2"/>
        </patternFill>
      </fill>
    </dxf>
    <dxf>
      <font>
        <color theme="0" tint="-0.24994659260841701"/>
      </font>
    </dxf>
    <dxf>
      <font>
        <color theme="0" tint="-0.24994659260841701"/>
      </font>
    </dxf>
    <dxf>
      <font>
        <color theme="0" tint="-0.24994659260841701"/>
      </font>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color theme="0" tint="-0.24994659260841701"/>
      </font>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color theme="0" tint="-0.24994659260841701"/>
      </font>
    </dxf>
    <dxf>
      <font>
        <color theme="0" tint="-0.24994659260841701"/>
      </font>
    </dxf>
    <dxf>
      <font>
        <color theme="0" tint="-0.24994659260841701"/>
      </font>
    </dxf>
    <dxf>
      <font>
        <b val="0"/>
        <i val="0"/>
        <color theme="2"/>
      </font>
      <fill>
        <patternFill patternType="solid">
          <bgColor theme="2"/>
        </patternFill>
      </fill>
    </dxf>
    <dxf>
      <font>
        <b val="0"/>
        <i val="0"/>
        <color theme="0" tint="-0.24994659260841701"/>
      </font>
      <fill>
        <patternFill patternType="none">
          <bgColor auto="1"/>
        </patternFill>
      </fill>
    </dxf>
    <dxf>
      <font>
        <color theme="0" tint="-0.24994659260841701"/>
      </font>
    </dxf>
    <dxf>
      <font>
        <color theme="0" tint="-0.24994659260841701"/>
      </font>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color theme="0" tint="-0.24994659260841701"/>
      </font>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color theme="0" tint="-0.24994659260841701"/>
      </font>
    </dxf>
    <dxf>
      <font>
        <color theme="0" tint="-0.24994659260841701"/>
      </font>
    </dxf>
    <dxf>
      <font>
        <color theme="0" tint="-0.24994659260841701"/>
      </font>
    </dxf>
    <dxf>
      <font>
        <color theme="0" tint="-0.24994659260841701"/>
      </font>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color theme="0" tint="-0.24994659260841701"/>
      </font>
    </dxf>
    <dxf>
      <font>
        <color theme="0" tint="-0.24994659260841701"/>
      </font>
    </dxf>
    <dxf>
      <font>
        <b val="0"/>
        <i val="0"/>
        <color theme="2"/>
      </font>
      <fill>
        <patternFill patternType="solid">
          <bgColor theme="2"/>
        </patternFill>
      </fill>
    </dxf>
    <dxf>
      <font>
        <color theme="0" tint="-0.24994659260841701"/>
      </font>
    </dxf>
    <dxf>
      <font>
        <b val="0"/>
        <i val="0"/>
        <color theme="0" tint="-0.24994659260841701"/>
      </font>
      <fill>
        <patternFill patternType="none">
          <bgColor auto="1"/>
        </patternFill>
      </fill>
    </dxf>
    <dxf>
      <font>
        <b val="0"/>
        <i val="0"/>
        <color theme="0" tint="-0.24994659260841701"/>
      </font>
      <fill>
        <patternFill patternType="none">
          <bgColor auto="1"/>
        </patternFill>
      </fill>
      <border>
        <left/>
      </border>
    </dxf>
    <dxf>
      <fill>
        <patternFill>
          <bgColor rgb="FFE9FDFD"/>
        </patternFill>
      </fill>
    </dxf>
    <dxf>
      <fill>
        <patternFill>
          <bgColor rgb="FFF5FDF6"/>
        </patternFill>
      </fill>
    </dxf>
    <dxf>
      <font>
        <b/>
        <i val="0"/>
        <color auto="1"/>
      </font>
      <fill>
        <patternFill>
          <bgColor rgb="FF109C99"/>
        </patternFill>
      </fill>
    </dxf>
    <dxf>
      <fill>
        <patternFill>
          <bgColor rgb="FFE9FDFD"/>
        </patternFill>
      </fill>
    </dxf>
    <dxf>
      <font>
        <b/>
        <i val="0"/>
        <color theme="0"/>
      </font>
      <fill>
        <patternFill>
          <bgColor rgb="FF109C99"/>
        </patternFill>
      </fill>
    </dxf>
    <dxf>
      <fill>
        <patternFill>
          <bgColor rgb="FFE7FDFB"/>
        </patternFill>
      </fill>
    </dxf>
    <dxf>
      <font>
        <b/>
        <i val="0"/>
        <color theme="0"/>
      </font>
      <fill>
        <patternFill>
          <bgColor rgb="FF35B0C9"/>
        </patternFill>
      </fill>
    </dxf>
    <dxf>
      <fill>
        <patternFill>
          <bgColor rgb="FFFFF8E1"/>
        </patternFill>
      </fill>
    </dxf>
    <dxf>
      <font>
        <b/>
        <i val="0"/>
        <color auto="1"/>
      </font>
      <fill>
        <patternFill>
          <bgColor rgb="FFFFC000"/>
        </patternFill>
      </fill>
    </dxf>
    <dxf>
      <fill>
        <patternFill>
          <bgColor rgb="FFF5FDF6"/>
        </patternFill>
      </fill>
    </dxf>
    <dxf>
      <font>
        <b/>
        <i val="0"/>
        <color auto="1"/>
      </font>
      <fill>
        <patternFill>
          <bgColor rgb="FF47D359"/>
        </patternFill>
      </fill>
    </dxf>
    <dxf>
      <fill>
        <patternFill>
          <bgColor rgb="FFFCEBEA"/>
        </patternFill>
      </fill>
    </dxf>
    <dxf>
      <font>
        <b/>
        <i val="0"/>
        <color theme="0"/>
      </font>
      <fill>
        <patternFill>
          <bgColor rgb="FFC11111"/>
        </patternFill>
      </fill>
    </dxf>
    <dxf>
      <fill>
        <patternFill>
          <bgColor rgb="FFE7F7FD"/>
        </patternFill>
      </fill>
    </dxf>
    <dxf>
      <font>
        <b/>
        <i val="0"/>
        <color theme="0"/>
      </font>
      <fill>
        <patternFill>
          <bgColor rgb="FF074F69"/>
        </patternFill>
      </fill>
    </dxf>
    <dxf>
      <font>
        <color theme="1"/>
      </font>
      <fill>
        <patternFill>
          <bgColor theme="0"/>
        </patternFill>
      </fill>
      <border>
        <left style="thin">
          <color auto="1"/>
        </left>
        <right style="thin">
          <color auto="1"/>
        </right>
        <top style="thin">
          <color auto="1"/>
        </top>
        <bottom style="thin">
          <color auto="1"/>
        </bottom>
      </border>
    </dxf>
    <dxf>
      <font>
        <b/>
        <i val="0"/>
        <color theme="0"/>
      </font>
      <fill>
        <patternFill>
          <bgColor rgb="FF074F69"/>
        </patternFill>
      </fill>
    </dxf>
    <dxf>
      <font>
        <b/>
        <i val="0"/>
        <color theme="0"/>
      </font>
      <fill>
        <patternFill>
          <bgColor rgb="FFC11111"/>
        </patternFill>
      </fill>
    </dxf>
    <dxf>
      <font>
        <b/>
        <i val="0"/>
        <color auto="1"/>
      </font>
      <fill>
        <patternFill>
          <bgColor rgb="FF47D359"/>
        </patternFill>
      </fill>
    </dxf>
    <dxf>
      <font>
        <b/>
        <i val="0"/>
        <color auto="1"/>
      </font>
      <fill>
        <patternFill>
          <bgColor rgb="FFFFC000"/>
        </patternFill>
      </fill>
    </dxf>
    <dxf>
      <font>
        <b/>
        <i val="0"/>
        <color theme="0"/>
      </font>
      <fill>
        <patternFill>
          <bgColor rgb="FF35B0C9"/>
        </patternFill>
      </fill>
    </dxf>
    <dxf>
      <font>
        <b/>
        <i val="0"/>
        <color theme="0"/>
      </font>
      <fill>
        <patternFill>
          <bgColor rgb="FF109C99"/>
        </patternFill>
      </fill>
    </dxf>
    <dxf>
      <fill>
        <patternFill>
          <bgColor rgb="FFFFF8E1"/>
        </patternFill>
      </fill>
    </dxf>
    <dxf>
      <fill>
        <patternFill>
          <bgColor rgb="FFE7FDFB"/>
        </patternFill>
      </fill>
    </dxf>
    <dxf>
      <fill>
        <patternFill>
          <bgColor rgb="FFE7F7FD"/>
        </patternFill>
      </fill>
    </dxf>
    <dxf>
      <fill>
        <patternFill>
          <bgColor rgb="FFF5FDF6"/>
        </patternFill>
      </fill>
    </dxf>
    <dxf>
      <fill>
        <patternFill>
          <bgColor rgb="FFFCEBEA"/>
        </patternFill>
      </fill>
    </dxf>
    <dxf>
      <fill>
        <patternFill>
          <bgColor rgb="FFE7F7FD"/>
        </patternFill>
      </fill>
    </dxf>
    <dxf>
      <font>
        <color theme="1"/>
      </font>
      <fill>
        <patternFill>
          <bgColor rgb="FFE3F6FD"/>
        </patternFill>
      </fill>
      <border>
        <left style="thin">
          <color auto="1"/>
        </left>
        <right style="thin">
          <color auto="1"/>
        </right>
        <top style="thin">
          <color auto="1"/>
        </top>
        <bottom style="thin">
          <color auto="1"/>
        </bottom>
      </border>
    </dxf>
    <dxf>
      <font>
        <b/>
        <i val="0"/>
        <color theme="0"/>
      </font>
      <fill>
        <patternFill>
          <bgColor rgb="FF074F69"/>
        </patternFill>
      </fill>
    </dxf>
    <dxf>
      <font>
        <b/>
        <i val="0"/>
        <color rgb="FF0070C0"/>
      </font>
      <fill>
        <patternFill>
          <bgColor theme="0"/>
        </patternFill>
      </fill>
      <border>
        <left style="thin">
          <color theme="1"/>
        </left>
        <right style="thin">
          <color theme="1"/>
        </right>
        <top style="thin">
          <color theme="1"/>
        </top>
        <bottom style="thin">
          <color theme="1"/>
        </bottom>
      </border>
    </dxf>
    <dxf>
      <font>
        <b/>
        <i val="0"/>
        <color rgb="FF0070C0"/>
      </font>
      <fill>
        <patternFill>
          <bgColor theme="0"/>
        </patternFill>
      </fill>
      <border>
        <left style="thin">
          <color auto="1"/>
        </left>
        <right style="thin">
          <color auto="1"/>
        </right>
        <top style="thin">
          <color auto="1"/>
        </top>
        <bottom style="thin">
          <color auto="1"/>
        </bottom>
      </border>
    </dxf>
    <dxf>
      <font>
        <b/>
        <i val="0"/>
        <color rgb="FF0070C0"/>
      </font>
      <fill>
        <patternFill>
          <bgColor theme="0"/>
        </patternFill>
      </fill>
      <border>
        <left style="thin">
          <color auto="1"/>
        </left>
        <right style="thin">
          <color auto="1"/>
        </right>
        <top style="thin">
          <color auto="1"/>
        </top>
        <bottom style="thin">
          <color auto="1"/>
        </bottom>
      </border>
    </dxf>
    <dxf>
      <font>
        <b/>
        <i val="0"/>
        <color theme="0"/>
      </font>
      <fill>
        <patternFill>
          <bgColor rgb="FF0070C0"/>
        </patternFill>
      </fill>
      <border>
        <left style="thin">
          <color auto="1"/>
        </left>
        <right style="thin">
          <color auto="1"/>
        </right>
        <top style="thin">
          <color auto="1"/>
        </top>
        <bottom style="thin">
          <color auto="1"/>
        </bottom>
      </border>
    </dxf>
    <dxf>
      <font>
        <b/>
        <i val="0"/>
        <color theme="0"/>
      </font>
      <fill>
        <patternFill>
          <bgColor rgb="FF0070C0"/>
        </patternFill>
      </fill>
      <border>
        <left style="thin">
          <color auto="1"/>
        </left>
        <right style="thin">
          <color auto="1"/>
        </right>
        <top style="thin">
          <color auto="1"/>
        </top>
        <bottom style="thin">
          <color auto="1"/>
        </bottom>
      </border>
    </dxf>
    <dxf>
      <font>
        <b/>
        <i val="0"/>
        <color theme="0"/>
      </font>
      <fill>
        <patternFill>
          <bgColor rgb="FF0070C0"/>
        </patternFill>
      </fill>
      <border>
        <left style="thin">
          <color rgb="FF0070C0"/>
        </left>
        <right style="thin">
          <color rgb="FF0070C0"/>
        </right>
        <top style="thin">
          <color rgb="FF0070C0"/>
        </top>
        <bottom style="thin">
          <color rgb="FF0070C0"/>
        </bottom>
      </border>
    </dxf>
    <dxf>
      <font>
        <b/>
        <i val="0"/>
        <color rgb="FF004158"/>
      </font>
      <fill>
        <gradientFill degree="90">
          <stop position="0">
            <color rgb="FF36B1CA"/>
          </stop>
          <stop position="1">
            <color rgb="FFD5F4FF"/>
          </stop>
        </gradientFill>
      </fill>
      <border>
        <left/>
        <right/>
        <top/>
        <bottom/>
      </border>
    </dxf>
    <dxf>
      <font>
        <b/>
        <i val="0"/>
        <color theme="0"/>
      </font>
      <fill>
        <patternFill>
          <bgColor theme="4" tint="-0.499984740745262"/>
        </patternFill>
      </fill>
      <border>
        <left style="thin">
          <color theme="4" tint="-0.499984740745262"/>
        </left>
        <right style="thin">
          <color theme="4" tint="-0.499984740745262"/>
        </right>
        <top style="thin">
          <color theme="4" tint="-0.499984740745262"/>
        </top>
        <bottom style="thin">
          <color theme="4" tint="-0.499984740745262"/>
        </bottom>
      </border>
    </dxf>
    <dxf>
      <font>
        <b/>
        <i val="0"/>
        <color theme="0"/>
      </font>
      <fill>
        <patternFill>
          <bgColor theme="4" tint="-0.499984740745262"/>
        </patternFill>
      </fill>
      <border>
        <left style="thin">
          <color theme="4" tint="-0.499984740745262"/>
        </left>
        <right style="thin">
          <color theme="4" tint="-0.499984740745262"/>
        </right>
        <top style="thin">
          <color theme="4" tint="-0.499984740745262"/>
        </top>
        <bottom style="thin">
          <color theme="4" tint="-0.499984740745262"/>
        </bottom>
      </border>
    </dxf>
    <dxf>
      <font>
        <b/>
        <i val="0"/>
        <color theme="1"/>
      </font>
      <fill>
        <patternFill>
          <bgColor rgb="FFD9EFFF"/>
        </patternFill>
      </fill>
      <border>
        <left style="thin">
          <color auto="1"/>
        </left>
        <right style="thin">
          <color auto="1"/>
        </right>
        <top style="thin">
          <color auto="1"/>
        </top>
        <bottom style="thin">
          <color auto="1"/>
        </bottom>
      </border>
    </dxf>
    <dxf>
      <font>
        <b/>
        <i val="0"/>
        <color theme="1"/>
      </font>
      <fill>
        <patternFill>
          <bgColor rgb="FFD9EFFF"/>
        </patternFill>
      </fill>
      <border>
        <left style="thin">
          <color auto="1"/>
        </left>
        <right style="thin">
          <color auto="1"/>
        </right>
        <top style="thin">
          <color auto="1"/>
        </top>
        <bottom style="thin">
          <color auto="1"/>
        </bottom>
      </border>
    </dxf>
    <dxf>
      <font>
        <b/>
        <i val="0"/>
        <color theme="0"/>
      </font>
      <fill>
        <patternFill>
          <bgColor theme="4" tint="-0.499984740745262"/>
        </patternFill>
      </fill>
      <border>
        <left style="thin">
          <color theme="1"/>
        </left>
        <right style="thin">
          <color theme="1"/>
        </right>
        <top style="thin">
          <color theme="1"/>
        </top>
        <bottom style="thin">
          <color theme="1"/>
        </bottom>
      </border>
    </dxf>
    <dxf>
      <font>
        <b/>
        <i val="0"/>
        <color theme="0"/>
      </font>
      <fill>
        <patternFill>
          <bgColor theme="4" tint="-0.499984740745262"/>
        </patternFill>
      </fill>
      <border>
        <left style="thin">
          <color auto="1"/>
        </left>
        <right style="thin">
          <color auto="1"/>
        </right>
        <top style="thin">
          <color auto="1"/>
        </top>
        <bottom style="thin">
          <color auto="1"/>
        </bottom>
      </border>
    </dxf>
    <dxf>
      <font>
        <b/>
        <i val="0"/>
        <color theme="0"/>
      </font>
      <fill>
        <patternFill>
          <bgColor theme="4" tint="-0.499984740745262"/>
        </patternFill>
      </fill>
      <border>
        <left style="thin">
          <color theme="1"/>
        </left>
        <right style="thin">
          <color theme="1"/>
        </right>
        <top style="thin">
          <color theme="1"/>
        </top>
        <bottom style="thin">
          <color theme="1"/>
        </bottom>
      </border>
    </dxf>
    <dxf>
      <font>
        <b/>
        <i val="0"/>
        <color theme="0"/>
      </font>
      <fill>
        <patternFill>
          <bgColor theme="4" tint="-0.499984740745262"/>
        </patternFill>
      </fill>
      <border>
        <left style="thin">
          <color auto="1"/>
        </left>
        <right style="thin">
          <color auto="1"/>
        </right>
        <top style="thin">
          <color auto="1"/>
        </top>
        <bottom style="thin">
          <color auto="1"/>
        </bottom>
      </border>
    </dxf>
    <dxf>
      <font>
        <b/>
        <i val="0"/>
        <color theme="0"/>
      </font>
      <fill>
        <patternFill>
          <bgColor rgb="FF0070C0"/>
        </patternFill>
      </fill>
      <border>
        <left style="thin">
          <color auto="1"/>
        </left>
        <right style="thin">
          <color auto="1"/>
        </right>
        <top style="thin">
          <color auto="1"/>
        </top>
        <bottom style="thin">
          <color auto="1"/>
        </bottom>
      </border>
    </dxf>
    <dxf>
      <font>
        <color theme="0" tint="-0.34998626667073579"/>
      </font>
      <border>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color auto="1"/>
      </font>
      <fill>
        <patternFill patternType="solid">
          <bgColor theme="8" tint="0.79998168889431442"/>
        </patternFill>
      </fill>
      <border>
        <left/>
        <right style="thin">
          <color auto="1"/>
        </right>
        <top style="thin">
          <color auto="1"/>
        </top>
        <bottom style="thin">
          <color auto="1"/>
        </bottom>
      </border>
    </dxf>
    <dxf>
      <font>
        <color auto="1"/>
      </font>
      <fill>
        <patternFill patternType="solid">
          <bgColor theme="8" tint="0.79998168889431442"/>
        </patternFill>
      </fill>
      <border>
        <left/>
        <right style="thin">
          <color auto="1"/>
        </right>
        <top style="thin">
          <color auto="1"/>
        </top>
        <bottom style="thin">
          <color auto="1"/>
        </bottom>
      </border>
    </dxf>
    <dxf>
      <font>
        <b val="0"/>
        <i val="0"/>
        <color theme="0" tint="-0.24994659260841701"/>
      </font>
      <fill>
        <patternFill patternType="none">
          <bgColor auto="1"/>
        </patternFill>
      </fill>
    </dxf>
    <dxf>
      <font>
        <b val="0"/>
        <i val="0"/>
        <color rgb="FF0563C1"/>
      </font>
      <fill>
        <patternFill patternType="none">
          <bgColor auto="1"/>
        </patternFill>
      </fill>
      <border>
        <left/>
        <right style="thin">
          <color auto="1"/>
        </right>
        <top style="thin">
          <color auto="1"/>
        </top>
        <bottom style="thin">
          <color auto="1"/>
        </bottom>
      </border>
    </dxf>
    <dxf>
      <font>
        <color auto="1"/>
      </font>
      <fill>
        <patternFill patternType="solid">
          <bgColor theme="8" tint="0.79998168889431442"/>
        </patternFill>
      </fill>
      <border>
        <left/>
        <right style="thin">
          <color auto="1"/>
        </right>
        <top style="thin">
          <color auto="1"/>
        </top>
        <bottom style="thin">
          <color auto="1"/>
        </bottom>
      </border>
    </dxf>
    <dxf>
      <font>
        <color auto="1"/>
      </font>
      <fill>
        <patternFill patternType="solid">
          <bgColor theme="8" tint="0.79998168889431442"/>
        </patternFill>
      </fill>
      <border>
        <left/>
        <right style="thin">
          <color auto="1"/>
        </right>
        <top style="thin">
          <color auto="1"/>
        </top>
        <bottom style="thin">
          <color auto="1"/>
        </bottom>
      </border>
    </dxf>
    <dxf>
      <font>
        <color auto="1"/>
      </font>
      <fill>
        <patternFill patternType="solid">
          <bgColor theme="8" tint="0.79998168889431442"/>
        </patternFill>
      </fill>
      <border>
        <left/>
        <right style="thin">
          <color auto="1"/>
        </right>
        <top style="thin">
          <color auto="1"/>
        </top>
        <bottom style="thin">
          <color auto="1"/>
        </bottom>
      </border>
    </dxf>
    <dxf>
      <font>
        <color rgb="FF0563C1"/>
      </font>
      <fill>
        <patternFill patternType="none">
          <bgColor auto="1"/>
        </patternFill>
      </fill>
      <border>
        <left style="thin">
          <color theme="0"/>
        </left>
        <right style="thin">
          <color auto="1"/>
        </right>
        <top style="thin">
          <color auto="1"/>
        </top>
        <bottom style="thin">
          <color auto="1"/>
        </bottom>
      </border>
    </dxf>
    <dxf>
      <font>
        <color rgb="FF0563C1"/>
      </font>
      <fill>
        <patternFill patternType="none">
          <bgColor auto="1"/>
        </patternFill>
      </fill>
      <border>
        <left style="thin">
          <color theme="0"/>
        </left>
        <right style="thin">
          <color auto="1"/>
        </right>
        <top style="thin">
          <color auto="1"/>
        </top>
        <bottom style="thin">
          <color auto="1"/>
        </bottom>
      </border>
    </dxf>
    <dxf>
      <font>
        <b val="0"/>
        <i val="0"/>
        <color rgb="FF0563C1"/>
      </font>
      <fill>
        <patternFill patternType="none">
          <bgColor auto="1"/>
        </patternFill>
      </fill>
      <border>
        <left/>
        <right style="thin">
          <color auto="1"/>
        </right>
        <top style="thin">
          <color auto="1"/>
        </top>
        <bottom style="thin">
          <color auto="1"/>
        </bottom>
      </border>
    </dxf>
    <dxf>
      <font>
        <color rgb="FF0563C1"/>
      </font>
      <border>
        <left style="thin">
          <color theme="0"/>
        </left>
        <right style="thin">
          <color auto="1"/>
        </right>
        <top style="thin">
          <color auto="1"/>
        </top>
        <bottom style="thin">
          <color auto="1"/>
        </bottom>
      </border>
    </dxf>
    <dxf>
      <font>
        <b/>
        <i val="0"/>
        <strike val="0"/>
        <u val="none"/>
        <color theme="0"/>
      </font>
      <fill>
        <patternFill patternType="none">
          <bgColor auto="1"/>
        </patternFill>
      </fill>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0" tint="-0.24994659260841701"/>
      </font>
      <fill>
        <patternFill patternType="none">
          <bgColor auto="1"/>
        </patternFill>
      </fill>
    </dxf>
    <dxf>
      <font>
        <color theme="0" tint="-0.34998626667073579"/>
      </font>
      <fill>
        <patternFill patternType="none">
          <bgColor auto="1"/>
        </patternFill>
      </fill>
      <border>
        <left style="thin">
          <color auto="1"/>
        </left>
        <right/>
        <top style="thin">
          <color auto="1"/>
        </top>
        <bottom style="thin">
          <color auto="1"/>
        </bottom>
      </border>
    </dxf>
    <dxf>
      <font>
        <color auto="1"/>
      </font>
      <fill>
        <patternFill patternType="solid">
          <bgColor theme="8" tint="0.79998168889431442"/>
        </patternFill>
      </fill>
      <border>
        <left style="thin">
          <color auto="1"/>
        </left>
        <right/>
        <top style="thin">
          <color auto="1"/>
        </top>
        <bottom style="thin">
          <color auto="1"/>
        </bottom>
      </border>
    </dxf>
    <dxf>
      <font>
        <color theme="0" tint="-0.34998626667073579"/>
      </font>
      <border>
        <left style="thin">
          <color auto="1"/>
        </left>
        <right/>
        <top style="thin">
          <color auto="1"/>
        </top>
        <bottom style="thin">
          <color auto="1"/>
        </bottom>
      </border>
    </dxf>
    <dxf>
      <font>
        <b val="0"/>
        <i val="0"/>
        <color theme="1"/>
      </font>
      <fill>
        <patternFill patternType="none">
          <bgColor auto="1"/>
        </patternFill>
      </fill>
      <border>
        <left style="thin">
          <color auto="1"/>
        </left>
        <right style="thin">
          <color theme="0"/>
        </right>
        <top style="thin">
          <color auto="1"/>
        </top>
        <bottom style="thin">
          <color auto="1"/>
        </bottom>
      </border>
    </dxf>
    <dxf>
      <font>
        <color theme="0" tint="-0.34998626667073579"/>
      </font>
      <border>
        <left style="thin">
          <color auto="1"/>
        </left>
        <right/>
        <top style="thin">
          <color auto="1"/>
        </top>
        <bottom style="thin">
          <color auto="1"/>
        </bottom>
      </border>
    </dxf>
    <dxf>
      <font>
        <color theme="0" tint="-0.34998626667073579"/>
      </font>
      <border>
        <left style="thin">
          <color auto="1"/>
        </left>
        <right/>
        <top style="thin">
          <color auto="1"/>
        </top>
        <bottom style="thin">
          <color auto="1"/>
        </bottom>
      </border>
    </dxf>
    <dxf>
      <font>
        <color theme="0" tint="-0.34998626667073579"/>
      </font>
      <border>
        <left style="thin">
          <color auto="1"/>
        </left>
        <right/>
        <top style="thin">
          <color auto="1"/>
        </top>
        <bottom style="thin">
          <color auto="1"/>
        </bottom>
      </border>
    </dxf>
    <dxf>
      <font>
        <color rgb="FF0563C1"/>
      </font>
      <border>
        <left style="thin">
          <color auto="1"/>
        </left>
        <right style="thin">
          <color theme="0"/>
        </right>
        <top style="thin">
          <color auto="1"/>
        </top>
        <bottom style="thin">
          <color auto="1"/>
        </bottom>
      </border>
    </dxf>
    <dxf>
      <font>
        <color rgb="FF0563C1"/>
      </font>
      <border>
        <left style="thin">
          <color auto="1"/>
        </left>
        <right style="thin">
          <color theme="0"/>
        </right>
        <top style="thin">
          <color auto="1"/>
        </top>
        <bottom style="thin">
          <color auto="1"/>
        </bottom>
      </border>
    </dxf>
    <dxf>
      <fill>
        <patternFill>
          <bgColor rgb="FFFFEFFF"/>
        </patternFill>
      </fill>
      <border>
        <left style="thin">
          <color auto="1"/>
        </left>
        <right style="thin">
          <color auto="1"/>
        </right>
        <top style="thin">
          <color auto="1"/>
        </top>
        <bottom style="thin">
          <color auto="1"/>
        </bottom>
      </border>
    </dxf>
    <dxf>
      <fill>
        <patternFill>
          <bgColor rgb="FFFFEFFF"/>
        </patternFill>
      </fill>
      <border>
        <left style="thin">
          <color auto="1"/>
        </left>
        <right style="thin">
          <color auto="1"/>
        </right>
        <top style="thin">
          <color auto="1"/>
        </top>
        <bottom style="thin">
          <color auto="1"/>
        </bottom>
      </border>
    </dxf>
    <dxf>
      <fill>
        <patternFill>
          <bgColor rgb="FFFFEFFF"/>
        </patternFill>
      </fill>
      <border>
        <left style="thin">
          <color auto="1"/>
        </left>
        <right style="thin">
          <color auto="1"/>
        </right>
        <top style="thin">
          <color auto="1"/>
        </top>
        <bottom style="thin">
          <color auto="1"/>
        </bottom>
      </border>
    </dxf>
    <dxf>
      <fill>
        <patternFill>
          <bgColor rgb="FFFFEFFF"/>
        </patternFill>
      </fill>
      <border>
        <left style="thin">
          <color auto="1"/>
        </left>
        <right style="thin">
          <color auto="1"/>
        </right>
        <top style="thin">
          <color auto="1"/>
        </top>
        <bottom style="thin">
          <color auto="1"/>
        </bottom>
      </border>
    </dxf>
    <dxf>
      <fill>
        <patternFill>
          <bgColor rgb="FFFFEFFF"/>
        </patternFill>
      </fill>
      <border>
        <left style="thin">
          <color auto="1"/>
        </left>
        <right style="thin">
          <color auto="1"/>
        </right>
        <top style="thin">
          <color auto="1"/>
        </top>
        <bottom style="thin">
          <color auto="1"/>
        </bottom>
      </border>
    </dxf>
    <dxf>
      <font>
        <color theme="0"/>
      </font>
      <fill>
        <patternFill>
          <bgColor theme="0"/>
        </patternFill>
      </fill>
    </dxf>
    <dxf>
      <fill>
        <patternFill>
          <bgColor theme="0"/>
        </patternFill>
      </fill>
    </dxf>
    <dxf>
      <font>
        <b/>
        <i val="0"/>
        <strike val="0"/>
        <u val="none"/>
        <color theme="4" tint="-0.499984740745262"/>
      </font>
      <fill>
        <patternFill>
          <bgColor theme="4" tint="0.59996337778862885"/>
        </patternFill>
      </fill>
      <border>
        <left style="thin">
          <color auto="1"/>
        </left>
        <right style="thin">
          <color auto="1"/>
        </right>
        <top style="thin">
          <color auto="1"/>
        </top>
        <bottom style="thin">
          <color auto="1"/>
        </bottom>
      </border>
    </dxf>
    <dxf>
      <font>
        <b/>
        <i val="0"/>
        <strike val="0"/>
        <u val="none"/>
        <color theme="4" tint="-0.499984740745262"/>
      </font>
      <fill>
        <patternFill>
          <bgColor theme="4" tint="0.59996337778862885"/>
        </patternFill>
      </fill>
      <border>
        <left style="thin">
          <color auto="1"/>
        </left>
        <right style="thin">
          <color auto="1"/>
        </right>
        <top style="thin">
          <color auto="1"/>
        </top>
        <bottom style="thin">
          <color auto="1"/>
        </bottom>
      </border>
    </dxf>
    <dxf>
      <font>
        <b/>
        <i val="0"/>
        <strike val="0"/>
        <u val="none"/>
        <color theme="4" tint="-0.499984740745262"/>
      </font>
      <fill>
        <patternFill>
          <bgColor theme="4" tint="0.59996337778862885"/>
        </patternFill>
      </fill>
      <border>
        <left style="thin">
          <color auto="1"/>
        </left>
        <right style="thin">
          <color auto="1"/>
        </right>
        <top style="thin">
          <color auto="1"/>
        </top>
        <bottom style="thin">
          <color auto="1"/>
        </bottom>
      </border>
    </dxf>
    <dxf>
      <font>
        <b/>
        <i val="0"/>
        <strike val="0"/>
        <u val="none"/>
        <color theme="4" tint="-0.499984740745262"/>
      </font>
      <fill>
        <patternFill>
          <bgColor theme="4" tint="0.59996337778862885"/>
        </patternFill>
      </fill>
      <border>
        <left style="thin">
          <color auto="1"/>
        </left>
        <right style="thin">
          <color auto="1"/>
        </right>
        <top style="thin">
          <color auto="1"/>
        </top>
        <bottom style="thin">
          <color auto="1"/>
        </bottom>
      </border>
    </dxf>
    <dxf>
      <font>
        <b/>
        <i val="0"/>
        <strike val="0"/>
        <u val="none"/>
        <color theme="4" tint="-0.499984740745262"/>
      </font>
      <fill>
        <patternFill>
          <bgColor theme="4" tint="0.59996337778862885"/>
        </patternFill>
      </fill>
      <border>
        <left style="thin">
          <color auto="1"/>
        </left>
        <right style="thin">
          <color auto="1"/>
        </right>
        <top style="thin">
          <color auto="1"/>
        </top>
        <bottom style="thin">
          <color auto="1"/>
        </bottom>
      </border>
    </dxf>
    <dxf>
      <font>
        <color rgb="FF0070C0"/>
      </font>
    </dxf>
    <dxf>
      <font>
        <color rgb="FF0070C0"/>
      </font>
    </dxf>
    <dxf>
      <font>
        <color rgb="FF0070C0"/>
      </font>
    </dxf>
    <dxf>
      <font>
        <color rgb="FF0070C0"/>
      </font>
    </dxf>
    <dxf>
      <font>
        <color rgb="FF0070C0"/>
      </font>
    </dxf>
    <dxf>
      <font>
        <color theme="0" tint="-0.34998626667073579"/>
      </font>
      <border>
        <left/>
        <right style="thin">
          <color auto="1"/>
        </right>
        <top style="thin">
          <color auto="1"/>
        </top>
        <bottom style="thin">
          <color auto="1"/>
        </bottom>
      </border>
    </dxf>
    <dxf>
      <font>
        <b/>
        <i val="0"/>
        <u val="none"/>
        <color theme="0"/>
      </font>
      <fill>
        <patternFill>
          <bgColor theme="4" tint="-0.499984740745262"/>
        </patternFill>
      </fill>
      <border>
        <left style="thin">
          <color theme="8" tint="-0.499984740745262"/>
        </left>
        <right style="thin">
          <color theme="8" tint="-0.499984740745262"/>
        </right>
        <top style="thin">
          <color theme="8" tint="-0.499984740745262"/>
        </top>
        <bottom style="thin">
          <color theme="8" tint="-0.499984740745262"/>
        </bottom>
      </border>
    </dxf>
    <dxf>
      <font>
        <b/>
        <i val="0"/>
        <strike val="0"/>
        <u val="none"/>
        <color theme="0"/>
      </font>
      <fill>
        <patternFill>
          <bgColor theme="4" tint="-0.499984740745262"/>
        </patternFill>
      </fill>
    </dxf>
    <dxf>
      <font>
        <b/>
        <i val="0"/>
        <strike val="0"/>
        <u val="none"/>
        <color theme="0"/>
      </font>
      <fill>
        <patternFill>
          <bgColor theme="4" tint="-0.499984740745262"/>
        </patternFill>
      </fill>
    </dxf>
    <dxf>
      <font>
        <b/>
        <i val="0"/>
        <strike val="0"/>
        <u val="none"/>
        <color theme="0"/>
      </font>
      <fill>
        <patternFill>
          <bgColor theme="4" tint="-0.499984740745262"/>
        </patternFill>
      </fill>
    </dxf>
    <dxf>
      <font>
        <b/>
        <i val="0"/>
        <strike val="0"/>
        <u val="none"/>
        <color theme="0"/>
      </font>
      <fill>
        <patternFill>
          <bgColor theme="4" tint="-0.499984740745262"/>
        </patternFill>
      </fill>
    </dxf>
    <dxf>
      <font>
        <b/>
        <i val="0"/>
        <strike val="0"/>
        <u val="none"/>
        <color theme="0"/>
      </font>
      <fill>
        <patternFill>
          <bgColor theme="4" tint="-0.499984740745262"/>
        </patternFill>
      </fill>
      <border>
        <left style="thin">
          <color auto="1"/>
        </left>
        <right style="thin">
          <color auto="1"/>
        </right>
        <top style="thin">
          <color auto="1"/>
        </top>
        <bottom style="thin">
          <color auto="1"/>
        </bottom>
      </border>
    </dxf>
    <dxf>
      <font>
        <b/>
        <i val="0"/>
        <color rgb="FF0563C1"/>
      </font>
      <border>
        <left style="thin">
          <color auto="1"/>
        </left>
        <right style="thin">
          <color auto="1"/>
        </right>
        <top style="thin">
          <color auto="1"/>
        </top>
        <bottom style="thin">
          <color auto="1"/>
        </bottom>
      </border>
    </dxf>
    <dxf>
      <font>
        <b/>
        <i val="0"/>
        <strike val="0"/>
        <u val="none"/>
        <color theme="0"/>
      </font>
      <fill>
        <patternFill>
          <bgColor theme="4" tint="-0.499984740745262"/>
        </patternFill>
      </fill>
      <border>
        <left style="thin">
          <color auto="1"/>
        </left>
        <right style="thin">
          <color auto="1"/>
        </right>
        <top style="thin">
          <color auto="1"/>
        </top>
        <bottom style="thin">
          <color auto="1"/>
        </bottom>
      </border>
    </dxf>
    <dxf>
      <font>
        <color rgb="FF0070C0"/>
      </font>
    </dxf>
    <dxf>
      <font>
        <color rgb="FF0070C0"/>
      </font>
    </dxf>
    <dxf>
      <font>
        <color rgb="FF0070C0"/>
      </font>
    </dxf>
    <dxf>
      <font>
        <color rgb="FF0070C0"/>
      </font>
    </dxf>
    <dxf>
      <font>
        <color rgb="FF0070C0"/>
      </font>
    </dxf>
    <dxf>
      <font>
        <b/>
        <i val="0"/>
        <color rgb="FF0563C1"/>
      </font>
      <border>
        <left style="thin">
          <color auto="1"/>
        </left>
        <right style="thin">
          <color auto="1"/>
        </right>
        <top style="thin">
          <color auto="1"/>
        </top>
        <bottom style="thin">
          <color auto="1"/>
        </bottom>
      </border>
    </dxf>
    <dxf>
      <font>
        <b/>
        <i val="0"/>
        <color rgb="FF0563C1"/>
      </font>
      <border>
        <left style="thin">
          <color auto="1"/>
        </left>
        <right style="thin">
          <color auto="1"/>
        </right>
        <top style="thin">
          <color auto="1"/>
        </top>
        <bottom style="thin">
          <color auto="1"/>
        </bottom>
      </border>
    </dxf>
    <dxf>
      <font>
        <b/>
        <i val="0"/>
        <color rgb="FF0563C1"/>
      </font>
      <border>
        <left style="thin">
          <color auto="1"/>
        </left>
        <right style="thin">
          <color auto="1"/>
        </right>
        <top style="thin">
          <color auto="1"/>
        </top>
        <bottom style="thin">
          <color auto="1"/>
        </bottom>
      </border>
    </dxf>
    <dxf>
      <font>
        <b/>
        <i val="0"/>
        <color rgb="FF0563C1"/>
      </font>
      <border>
        <left style="thin">
          <color auto="1"/>
        </left>
        <right style="thin">
          <color auto="1"/>
        </right>
        <top style="thin">
          <color auto="1"/>
        </top>
        <bottom style="thin">
          <color auto="1"/>
        </bottom>
      </border>
    </dxf>
    <dxf>
      <font>
        <b/>
        <i val="0"/>
        <color rgb="FF0563C1"/>
      </font>
      <border>
        <left style="thin">
          <color auto="1"/>
        </left>
        <right style="thin">
          <color auto="1"/>
        </right>
        <top style="thin">
          <color auto="1"/>
        </top>
        <bottom style="thin">
          <color auto="1"/>
        </bottom>
      </border>
    </dxf>
    <dxf>
      <font>
        <b/>
        <i val="0"/>
        <u val="none"/>
        <color theme="0"/>
      </font>
      <fill>
        <patternFill>
          <bgColor theme="4" tint="-0.499984740745262"/>
        </patternFill>
      </fill>
    </dxf>
    <dxf>
      <font>
        <b val="0"/>
        <i val="0"/>
        <color theme="1"/>
      </font>
      <fill>
        <patternFill patternType="none">
          <bgColor auto="1"/>
        </patternFill>
      </fill>
      <border>
        <left style="thin">
          <color auto="1"/>
        </left>
        <right style="thin">
          <color auto="1"/>
        </right>
        <top style="thin">
          <color auto="1"/>
        </top>
        <bottom style="thin">
          <color auto="1"/>
        </bottom>
      </border>
    </dxf>
    <dxf>
      <font>
        <b val="0"/>
        <i/>
        <color theme="0"/>
      </font>
      <fill>
        <patternFill patternType="solid">
          <bgColor theme="4" tint="-0.24994659260841701"/>
        </patternFill>
      </fill>
      <border>
        <left style="thin">
          <color auto="1"/>
        </left>
        <right style="thin">
          <color auto="1"/>
        </right>
        <top style="thin">
          <color auto="1"/>
        </top>
        <bottom style="thin">
          <color auto="1"/>
        </bottom>
      </border>
    </dxf>
    <dxf>
      <font>
        <b val="0"/>
        <i/>
        <color theme="0"/>
      </font>
      <fill>
        <patternFill patternType="solid">
          <bgColor theme="4" tint="-0.24994659260841701"/>
        </patternFill>
      </fill>
      <border>
        <left style="thin">
          <color auto="1"/>
        </left>
        <right style="thin">
          <color auto="1"/>
        </right>
        <top style="thin">
          <color auto="1"/>
        </top>
        <bottom style="thin">
          <color auto="1"/>
        </bottom>
      </border>
    </dxf>
    <dxf>
      <font>
        <b val="0"/>
        <i/>
        <color theme="0"/>
      </font>
      <fill>
        <patternFill patternType="solid">
          <bgColor theme="4" tint="-0.24994659260841701"/>
        </patternFill>
      </fill>
      <border>
        <left style="thin">
          <color auto="1"/>
        </left>
        <right style="thin">
          <color auto="1"/>
        </right>
        <top style="thin">
          <color auto="1"/>
        </top>
        <bottom style="thin">
          <color auto="1"/>
        </bottom>
      </border>
    </dxf>
    <dxf>
      <font>
        <b val="0"/>
        <i/>
        <color theme="0"/>
      </font>
      <fill>
        <patternFill patternType="solid">
          <bgColor theme="4" tint="-0.24994659260841701"/>
        </patternFill>
      </fill>
      <border>
        <left style="thin">
          <color auto="1"/>
        </left>
        <right style="thin">
          <color auto="1"/>
        </right>
        <top style="thin">
          <color auto="1"/>
        </top>
        <bottom style="thin">
          <color auto="1"/>
        </bottom>
      </border>
    </dxf>
    <dxf>
      <font>
        <b val="0"/>
        <i/>
        <color theme="0"/>
      </font>
      <fill>
        <patternFill patternType="solid">
          <bgColor theme="4" tint="-0.24994659260841701"/>
        </patternFill>
      </fill>
      <border>
        <left style="thin">
          <color auto="1"/>
        </left>
        <right style="thin">
          <color auto="1"/>
        </right>
        <top style="hair">
          <color auto="1"/>
        </top>
        <bottom style="hair">
          <color auto="1"/>
        </bottom>
      </border>
    </dxf>
    <dxf>
      <font>
        <b/>
        <i val="0"/>
        <u/>
        <color theme="0"/>
      </font>
      <fill>
        <patternFill>
          <bgColor theme="4" tint="-0.499984740745262"/>
        </patternFill>
      </fill>
    </dxf>
    <dxf>
      <font>
        <b/>
        <i val="0"/>
        <color theme="0"/>
      </font>
      <fill>
        <patternFill patternType="solid">
          <bgColor theme="4" tint="-0.24994659260841701"/>
        </patternFill>
      </fill>
      <border>
        <left style="thin">
          <color auto="1"/>
        </left>
        <right style="thin">
          <color auto="1"/>
        </right>
        <top style="thin">
          <color auto="1"/>
        </top>
        <bottom style="thin">
          <color auto="1"/>
        </bottom>
      </border>
    </dxf>
    <dxf>
      <font>
        <b/>
        <i val="0"/>
        <color theme="0"/>
      </font>
      <fill>
        <patternFill patternType="solid">
          <bgColor theme="4" tint="-0.24994659260841701"/>
        </patternFill>
      </fill>
      <border>
        <left style="thin">
          <color auto="1"/>
        </left>
        <right style="thin">
          <color auto="1"/>
        </right>
        <top style="thin">
          <color auto="1"/>
        </top>
        <bottom style="thin">
          <color auto="1"/>
        </bottom>
      </border>
    </dxf>
    <dxf>
      <font>
        <b/>
        <i val="0"/>
        <color theme="0"/>
      </font>
      <fill>
        <patternFill patternType="solid">
          <bgColor theme="4" tint="-0.24994659260841701"/>
        </patternFill>
      </fill>
      <border>
        <left style="thin">
          <color auto="1"/>
        </left>
        <right style="thin">
          <color auto="1"/>
        </right>
        <top style="thin">
          <color auto="1"/>
        </top>
        <bottom style="thin">
          <color auto="1"/>
        </bottom>
      </border>
    </dxf>
    <dxf>
      <font>
        <b/>
        <i val="0"/>
        <color theme="0"/>
      </font>
      <fill>
        <patternFill patternType="solid">
          <bgColor theme="4" tint="-0.24994659260841701"/>
        </patternFill>
      </fill>
      <border>
        <left style="thin">
          <color auto="1"/>
        </left>
        <right style="thin">
          <color auto="1"/>
        </right>
        <top style="thin">
          <color auto="1"/>
        </top>
        <bottom style="thin">
          <color auto="1"/>
        </bottom>
      </border>
    </dxf>
    <dxf>
      <font>
        <b/>
        <i val="0"/>
        <color theme="0"/>
      </font>
      <fill>
        <patternFill patternType="solid">
          <bgColor theme="4" tint="-0.24994659260841701"/>
        </patternFill>
      </fill>
      <border>
        <left style="thin">
          <color auto="1"/>
        </left>
        <right style="thin">
          <color auto="1"/>
        </right>
        <top style="thin">
          <color auto="1"/>
        </top>
        <bottom style="thin">
          <color auto="1"/>
        </bottom>
      </border>
    </dxf>
    <dxf>
      <font>
        <b/>
        <i val="0"/>
        <strike val="0"/>
        <u val="none"/>
        <color theme="0"/>
      </font>
      <fill>
        <patternFill>
          <bgColor theme="4" tint="-0.499984740745262"/>
        </patternFill>
      </fill>
      <border>
        <left style="thin">
          <color auto="1"/>
        </left>
        <right style="thin">
          <color auto="1"/>
        </right>
        <top style="thin">
          <color auto="1"/>
        </top>
        <bottom style="thin">
          <color auto="1"/>
        </bottom>
      </border>
    </dxf>
    <dxf>
      <font>
        <b/>
        <i val="0"/>
        <strike val="0"/>
        <u val="none"/>
        <color theme="0"/>
      </font>
      <fill>
        <patternFill>
          <bgColor theme="4" tint="-0.499984740745262"/>
        </patternFill>
      </fill>
      <border>
        <left style="thin">
          <color auto="1"/>
        </left>
        <right style="thin">
          <color auto="1"/>
        </right>
        <top style="thin">
          <color auto="1"/>
        </top>
        <bottom style="thin">
          <color auto="1"/>
        </bottom>
      </border>
    </dxf>
    <dxf>
      <font>
        <b/>
        <i val="0"/>
        <strike val="0"/>
        <u val="none"/>
        <color theme="0"/>
      </font>
      <fill>
        <patternFill>
          <bgColor theme="4" tint="-0.499984740745262"/>
        </patternFill>
      </fill>
      <border>
        <left style="thin">
          <color auto="1"/>
        </left>
        <right style="thin">
          <color auto="1"/>
        </right>
        <top style="thin">
          <color auto="1"/>
        </top>
        <bottom style="thin">
          <color auto="1"/>
        </bottom>
      </border>
    </dxf>
    <dxf>
      <font>
        <b/>
        <i val="0"/>
        <strike val="0"/>
        <u val="none"/>
        <color theme="0"/>
      </font>
      <fill>
        <patternFill>
          <bgColor theme="4" tint="-0.499984740745262"/>
        </patternFill>
      </fill>
      <border>
        <left style="thin">
          <color auto="1"/>
        </left>
        <right style="thin">
          <color auto="1"/>
        </right>
        <top style="thin">
          <color auto="1"/>
        </top>
        <bottom style="thin">
          <color auto="1"/>
        </bottom>
      </border>
    </dxf>
    <dxf>
      <font>
        <b/>
        <i val="0"/>
        <strike val="0"/>
        <u val="none"/>
        <color theme="0"/>
      </font>
      <fill>
        <patternFill>
          <bgColor theme="4" tint="-0.499984740745262"/>
        </patternFill>
      </fill>
      <border>
        <left style="thin">
          <color auto="1"/>
        </left>
        <right style="thin">
          <color auto="1"/>
        </right>
        <top style="thin">
          <color auto="1"/>
        </top>
        <bottom style="thin">
          <color auto="1"/>
        </bottom>
      </border>
    </dxf>
    <dxf>
      <font>
        <b/>
        <i val="0"/>
        <color theme="0"/>
      </font>
    </dxf>
    <dxf>
      <font>
        <b val="0"/>
        <i val="0"/>
        <color theme="0" tint="-0.34998626667073579"/>
      </font>
      <fill>
        <patternFill>
          <bgColor theme="0"/>
        </patternFill>
      </fill>
    </dxf>
    <dxf>
      <fill>
        <patternFill>
          <bgColor theme="0"/>
        </patternFill>
      </fill>
    </dxf>
    <dxf>
      <font>
        <b val="0"/>
        <i val="0"/>
        <color theme="0" tint="-0.24994659260841701"/>
      </font>
      <fill>
        <patternFill patternType="none">
          <bgColor auto="1"/>
        </patternFill>
      </fill>
      <border>
        <left/>
      </border>
    </dxf>
    <dxf>
      <font>
        <b val="0"/>
        <i val="0"/>
        <color theme="0"/>
      </font>
      <fill>
        <patternFill>
          <bgColor theme="0"/>
        </patternFill>
      </fill>
      <border>
        <left/>
        <right style="thin">
          <color theme="1"/>
        </right>
        <bottom style="thin">
          <color theme="1"/>
        </bottom>
      </border>
    </dxf>
    <dxf>
      <font>
        <b val="0"/>
        <i val="0"/>
        <color theme="0"/>
      </font>
      <fill>
        <patternFill>
          <bgColor theme="0"/>
        </patternFill>
      </fill>
      <border>
        <left/>
        <right style="thin">
          <color theme="1"/>
        </right>
        <bottom style="thin">
          <color theme="1"/>
        </bottom>
      </border>
    </dxf>
    <dxf>
      <font>
        <b val="0"/>
        <i val="0"/>
        <color theme="0"/>
      </font>
      <fill>
        <patternFill>
          <bgColor theme="0"/>
        </patternFill>
      </fill>
      <border>
        <left/>
        <right style="thin">
          <color theme="1"/>
        </right>
        <bottom style="hair">
          <color theme="1"/>
        </bottom>
      </border>
    </dxf>
    <dxf>
      <font>
        <b val="0"/>
        <i val="0"/>
        <color theme="0"/>
      </font>
      <fill>
        <patternFill>
          <bgColor theme="0"/>
        </patternFill>
      </fill>
      <border>
        <left/>
        <right style="thin">
          <color theme="1"/>
        </right>
        <bottom style="hair">
          <color theme="1"/>
        </bottom>
      </border>
    </dxf>
    <dxf>
      <fill>
        <patternFill>
          <bgColor theme="0"/>
        </patternFill>
      </fill>
    </dxf>
    <dxf>
      <font>
        <b val="0"/>
        <i val="0"/>
        <color theme="0"/>
      </font>
      <fill>
        <patternFill>
          <bgColor theme="0"/>
        </patternFill>
      </fill>
      <border>
        <left/>
        <right style="thin">
          <color theme="1"/>
        </right>
        <bottom style="thin">
          <color theme="1"/>
        </bottom>
      </border>
    </dxf>
    <dxf>
      <font>
        <b val="0"/>
        <i val="0"/>
        <color theme="0"/>
      </font>
      <fill>
        <patternFill>
          <bgColor theme="0"/>
        </patternFill>
      </fill>
      <border>
        <left/>
        <right style="thin">
          <color theme="1"/>
        </right>
        <bottom style="thin">
          <color theme="1"/>
        </bottom>
      </border>
    </dxf>
    <dxf>
      <font>
        <b val="0"/>
        <i val="0"/>
        <color theme="0"/>
      </font>
      <fill>
        <patternFill>
          <bgColor theme="0"/>
        </patternFill>
      </fill>
      <border>
        <left/>
        <right style="thin">
          <color theme="1"/>
        </right>
        <bottom style="hair">
          <color theme="1"/>
        </bottom>
      </border>
    </dxf>
    <dxf>
      <font>
        <b val="0"/>
        <i val="0"/>
        <color theme="0"/>
      </font>
      <fill>
        <patternFill>
          <bgColor theme="0"/>
        </patternFill>
      </fill>
      <border>
        <left/>
        <right style="thin">
          <color theme="1"/>
        </right>
        <bottom style="hair">
          <color theme="1"/>
        </bottom>
      </border>
    </dxf>
    <dxf>
      <font>
        <b val="0"/>
        <i val="0"/>
        <color theme="1"/>
      </font>
      <fill>
        <patternFill patternType="solid">
          <bgColor theme="8" tint="0.79998168889431442"/>
        </patternFill>
      </fill>
      <border>
        <left style="thin">
          <color auto="1"/>
        </left>
        <right style="thin">
          <color auto="1"/>
        </right>
        <top style="thin">
          <color auto="1"/>
        </top>
        <bottom style="thin">
          <color auto="1"/>
        </bottom>
      </border>
    </dxf>
    <dxf>
      <fill>
        <patternFill>
          <bgColor theme="0"/>
        </patternFill>
      </fill>
      <border>
        <right style="thin">
          <color auto="1"/>
        </right>
      </border>
    </dxf>
    <dxf>
      <font>
        <b val="0"/>
        <i val="0"/>
        <color theme="1"/>
      </font>
      <fill>
        <patternFill patternType="solid">
          <bgColor theme="8" tint="0.79998168889431442"/>
        </patternFill>
      </fill>
      <border>
        <left style="thin">
          <color auto="1"/>
        </left>
        <right style="thin">
          <color auto="1"/>
        </right>
        <top style="thin">
          <color auto="1"/>
        </top>
        <bottom style="thin">
          <color auto="1"/>
        </bottom>
      </border>
    </dxf>
    <dxf>
      <fill>
        <patternFill>
          <bgColor rgb="FFFFEFFF"/>
        </patternFill>
      </fill>
    </dxf>
    <dxf>
      <font>
        <b val="0"/>
        <i val="0"/>
        <color theme="1"/>
      </font>
      <fill>
        <patternFill patternType="solid">
          <bgColor theme="8" tint="0.79998168889431442"/>
        </patternFill>
      </fill>
      <border>
        <left style="thin">
          <color auto="1"/>
        </left>
        <right style="thin">
          <color auto="1"/>
        </right>
        <top style="thin">
          <color auto="1"/>
        </top>
        <bottom style="thin">
          <color auto="1"/>
        </bottom>
      </border>
    </dxf>
    <dxf>
      <font>
        <b val="0"/>
        <i val="0"/>
        <color theme="1"/>
      </font>
      <fill>
        <patternFill patternType="solid">
          <bgColor theme="8" tint="0.79998168889431442"/>
        </patternFill>
      </fill>
      <border>
        <left style="thin">
          <color auto="1"/>
        </left>
        <right style="thin">
          <color auto="1"/>
        </right>
        <top style="thin">
          <color auto="1"/>
        </top>
        <bottom style="thin">
          <color auto="1"/>
        </bottom>
      </border>
    </dxf>
    <dxf>
      <fill>
        <patternFill>
          <bgColor theme="0"/>
        </patternFill>
      </fill>
    </dxf>
    <dxf>
      <font>
        <b val="0"/>
        <i val="0"/>
        <color theme="0" tint="-0.24994659260841701"/>
      </font>
      <fill>
        <patternFill patternType="none">
          <bgColor auto="1"/>
        </patternFill>
      </fill>
    </dxf>
    <dxf>
      <font>
        <color theme="0"/>
      </font>
      <fill>
        <patternFill>
          <bgColor theme="4" tint="-0.499984740745262"/>
        </patternFill>
      </fill>
    </dxf>
    <dxf>
      <font>
        <color theme="4" tint="-0.499984740745262"/>
      </font>
      <fill>
        <patternFill>
          <bgColor theme="4" tint="-0.499984740745262"/>
        </patternFill>
      </fill>
    </dxf>
    <dxf>
      <fill>
        <patternFill>
          <bgColor theme="0"/>
        </patternFill>
      </fill>
    </dxf>
    <dxf>
      <fill>
        <patternFill>
          <bgColor theme="0"/>
        </patternFill>
      </fill>
    </dxf>
    <dxf>
      <font>
        <b/>
        <i val="0"/>
        <color theme="0" tint="-0.24994659260841701"/>
      </font>
      <fill>
        <patternFill>
          <bgColor theme="0"/>
        </patternFill>
      </fill>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color theme="0" tint="-0.24994659260841701"/>
      </font>
    </dxf>
    <dxf>
      <font>
        <color theme="0" tint="-0.24994659260841701"/>
      </font>
    </dxf>
    <dxf>
      <font>
        <color theme="0" tint="-0.24994659260841701"/>
      </font>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color theme="0" tint="-0.24994659260841701"/>
      </font>
    </dxf>
    <dxf>
      <font>
        <color theme="0" tint="-0.24994659260841701"/>
      </font>
    </dxf>
    <dxf>
      <font>
        <b val="0"/>
        <i val="0"/>
        <color theme="2"/>
      </font>
      <fill>
        <patternFill patternType="solid">
          <bgColor theme="2"/>
        </patternFill>
      </fill>
    </dxf>
    <dxf>
      <font>
        <b val="0"/>
        <i val="0"/>
        <color theme="0" tint="-0.24994659260841701"/>
      </font>
      <fill>
        <patternFill patternType="none">
          <bgColor auto="1"/>
        </patternFill>
      </fill>
      <border>
        <left/>
      </border>
    </dxf>
    <dxf>
      <font>
        <color theme="0" tint="-0.24994659260841701"/>
      </font>
    </dxf>
    <dxf>
      <font>
        <b val="0"/>
        <i val="0"/>
        <color theme="0" tint="-0.34998626667073579"/>
      </font>
      <fill>
        <patternFill>
          <bgColor theme="0"/>
        </patternFill>
      </fill>
    </dxf>
    <dxf>
      <font>
        <color theme="0" tint="-0.24994659260841701"/>
      </font>
    </dxf>
    <dxf>
      <font>
        <b/>
        <i val="0"/>
        <color rgb="FF0563C1"/>
      </font>
      <fill>
        <patternFill patternType="solid">
          <bgColor theme="0"/>
        </patternFill>
      </fill>
      <border>
        <left style="thin">
          <color auto="1"/>
        </left>
        <right style="thin">
          <color auto="1"/>
        </right>
        <top style="thin">
          <color auto="1"/>
        </top>
        <bottom style="thin">
          <color auto="1"/>
        </bottom>
      </border>
    </dxf>
    <dxf>
      <fill>
        <patternFill>
          <bgColor theme="0"/>
        </patternFill>
      </fill>
    </dxf>
    <dxf>
      <font>
        <b val="0"/>
        <i val="0"/>
        <color theme="1"/>
      </font>
      <fill>
        <patternFill patternType="solid">
          <bgColor theme="8" tint="0.79998168889431442"/>
        </patternFill>
      </fill>
      <border>
        <left style="thin">
          <color auto="1"/>
        </left>
        <right style="thin">
          <color auto="1"/>
        </right>
        <top style="hair">
          <color auto="1"/>
        </top>
        <bottom style="hair">
          <color auto="1"/>
        </bottom>
      </border>
    </dxf>
    <dxf>
      <font>
        <b val="0"/>
        <i val="0"/>
        <color theme="1"/>
      </font>
      <fill>
        <patternFill patternType="solid">
          <bgColor theme="8" tint="0.79998168889431442"/>
        </patternFill>
      </fill>
      <border>
        <left style="thin">
          <color auto="1"/>
        </left>
        <right style="thin">
          <color auto="1"/>
        </right>
        <top style="hair">
          <color auto="1"/>
        </top>
        <bottom style="hair">
          <color auto="1"/>
        </bottom>
      </border>
    </dxf>
    <dxf>
      <font>
        <b val="0"/>
        <i val="0"/>
        <color theme="1"/>
      </font>
      <fill>
        <patternFill patternType="solid">
          <bgColor theme="8" tint="0.79998168889431442"/>
        </patternFill>
      </fill>
      <border>
        <left style="thin">
          <color auto="1"/>
        </left>
        <right style="thin">
          <color auto="1"/>
        </right>
        <top style="hair">
          <color auto="1"/>
        </top>
        <bottom style="hair">
          <color auto="1"/>
        </bottom>
      </border>
    </dxf>
    <dxf>
      <font>
        <b val="0"/>
        <i val="0"/>
        <color theme="1"/>
      </font>
      <fill>
        <patternFill patternType="solid">
          <bgColor theme="8" tint="0.79998168889431442"/>
        </patternFill>
      </fill>
      <border>
        <left style="thin">
          <color auto="1"/>
        </left>
        <right style="thin">
          <color auto="1"/>
        </right>
        <top style="hair">
          <color auto="1"/>
        </top>
        <bottom style="hair">
          <color auto="1"/>
        </bottom>
      </border>
    </dxf>
    <dxf>
      <font>
        <b/>
        <i val="0"/>
        <color rgb="FF0563C1"/>
      </font>
      <fill>
        <patternFill patternType="solid">
          <bgColor theme="0"/>
        </patternFill>
      </fill>
      <border>
        <left style="thin">
          <color auto="1"/>
        </left>
        <right style="thin">
          <color auto="1"/>
        </right>
        <top style="hair">
          <color auto="1"/>
        </top>
        <bottom style="hair">
          <color auto="1"/>
        </bottom>
      </border>
    </dxf>
    <dxf>
      <font>
        <b val="0"/>
        <i val="0"/>
        <color theme="1"/>
      </font>
      <fill>
        <patternFill patternType="solid">
          <bgColor theme="0"/>
        </patternFill>
      </fill>
      <border>
        <left style="thin">
          <color auto="1"/>
        </left>
        <right style="thin">
          <color auto="1"/>
        </right>
        <top style="hair">
          <color auto="1"/>
        </top>
        <bottom style="hair">
          <color auto="1"/>
        </bottom>
      </border>
    </dxf>
    <dxf>
      <font>
        <b val="0"/>
        <i val="0"/>
        <color theme="1"/>
      </font>
      <fill>
        <patternFill patternType="solid">
          <bgColor theme="0"/>
        </patternFill>
      </fill>
      <border>
        <left style="thin">
          <color auto="1"/>
        </left>
        <right style="thin">
          <color auto="1"/>
        </right>
        <top style="hair">
          <color auto="1"/>
        </top>
        <bottom style="hair">
          <color auto="1"/>
        </bottom>
      </border>
    </dxf>
    <dxf>
      <font>
        <b/>
        <i val="0"/>
        <color rgb="FF0563C1"/>
      </font>
      <fill>
        <patternFill patternType="solid">
          <bgColor theme="0"/>
        </patternFill>
      </fill>
      <border>
        <left style="hair">
          <color auto="1"/>
        </left>
        <right style="thin">
          <color auto="1"/>
        </right>
        <top style="hair">
          <color auto="1"/>
        </top>
        <bottom style="hair">
          <color auto="1"/>
        </bottom>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color theme="0" tint="-0.24994659260841701"/>
      </font>
    </dxf>
    <dxf>
      <font>
        <color theme="0" tint="-0.24994659260841701"/>
      </font>
    </dxf>
    <dxf>
      <font>
        <color theme="0" tint="-0.24994659260841701"/>
      </font>
    </dxf>
    <dxf>
      <font>
        <color theme="0" tint="-0.24994659260841701"/>
      </font>
    </dxf>
    <dxf>
      <font>
        <b val="0"/>
        <i val="0"/>
        <color theme="2"/>
      </font>
      <fill>
        <patternFill patternType="solid">
          <bgColor theme="2"/>
        </patternFill>
      </fill>
    </dxf>
    <dxf>
      <font>
        <b val="0"/>
        <i val="0"/>
        <color theme="0" tint="-0.24994659260841701"/>
      </font>
      <fill>
        <patternFill patternType="none">
          <bgColor auto="1"/>
        </patternFill>
      </fill>
      <border>
        <left/>
      </border>
    </dxf>
    <dxf>
      <font>
        <color theme="0" tint="-0.24994659260841701"/>
      </font>
    </dxf>
    <dxf>
      <font>
        <color theme="0" tint="-0.24994659260841701"/>
      </font>
    </dxf>
    <dxf>
      <font>
        <color theme="0" tint="-0.24994659260841701"/>
      </font>
    </dxf>
    <dxf>
      <font>
        <b val="0"/>
        <i val="0"/>
        <color theme="0" tint="-0.24994659260841701"/>
      </font>
      <fill>
        <patternFill patternType="none">
          <bgColor auto="1"/>
        </patternFill>
      </fill>
    </dxf>
    <dxf>
      <font>
        <b val="0"/>
        <i val="0"/>
        <color theme="0" tint="-0.24994659260841701"/>
      </font>
      <fill>
        <patternFill patternType="none">
          <bgColor auto="1"/>
        </patternFill>
      </fill>
      <border>
        <left/>
      </border>
    </dxf>
    <dxf>
      <font>
        <b val="0"/>
        <i val="0"/>
        <color theme="0" tint="-0.34998626667073579"/>
      </font>
      <fill>
        <patternFill>
          <bgColor theme="0"/>
        </patternFill>
      </fill>
    </dxf>
    <dxf>
      <font>
        <color theme="0"/>
      </font>
      <fill>
        <patternFill>
          <bgColor rgb="FF305598"/>
        </patternFill>
      </fill>
      <border>
        <left/>
      </border>
    </dxf>
    <dxf>
      <font>
        <b val="0"/>
        <i val="0"/>
        <color theme="0" tint="-0.24994659260841701"/>
      </font>
      <fill>
        <patternFill patternType="none">
          <bgColor auto="1"/>
        </patternFill>
      </fill>
    </dxf>
    <dxf>
      <font>
        <b val="0"/>
        <i val="0"/>
        <color theme="0" tint="-0.34998626667073579"/>
      </font>
      <fill>
        <patternFill>
          <bgColor theme="0"/>
        </patternFill>
      </fill>
    </dxf>
    <dxf>
      <fill>
        <patternFill>
          <bgColor theme="0"/>
        </patternFill>
      </fill>
    </dxf>
    <dxf>
      <font>
        <b val="0"/>
        <i val="0"/>
        <color theme="1"/>
      </font>
      <fill>
        <patternFill patternType="solid">
          <bgColor theme="8" tint="0.79998168889431442"/>
        </patternFill>
      </fill>
      <border>
        <left style="hair">
          <color auto="1"/>
        </left>
        <right style="thin">
          <color auto="1"/>
        </right>
        <top style="hair">
          <color auto="1"/>
        </top>
        <bottom style="hair">
          <color auto="1"/>
        </bottom>
      </border>
    </dxf>
    <dxf>
      <font>
        <b/>
        <i val="0"/>
        <color theme="0"/>
      </font>
    </dxf>
    <dxf>
      <font>
        <b val="0"/>
        <i/>
        <color theme="0"/>
      </font>
      <fill>
        <patternFill patternType="solid">
          <bgColor theme="4" tint="-0.24994659260841701"/>
        </patternFill>
      </fill>
      <border>
        <left style="thin">
          <color auto="1"/>
        </left>
        <right style="thin">
          <color auto="1"/>
        </right>
        <top style="hair">
          <color auto="1"/>
        </top>
        <bottom style="hair">
          <color auto="1"/>
        </bottom>
      </border>
    </dxf>
    <dxf>
      <font>
        <b val="0"/>
        <i/>
        <color theme="0"/>
      </font>
      <fill>
        <patternFill patternType="solid">
          <bgColor theme="4" tint="-0.24994659260841701"/>
        </patternFill>
      </fill>
      <border>
        <left style="thin">
          <color auto="1"/>
        </left>
        <right style="thin">
          <color auto="1"/>
        </right>
        <top style="hair">
          <color auto="1"/>
        </top>
        <bottom style="hair">
          <color auto="1"/>
        </bottom>
      </border>
    </dxf>
    <dxf>
      <font>
        <b val="0"/>
        <i/>
        <color theme="0"/>
      </font>
      <fill>
        <patternFill patternType="solid">
          <bgColor theme="4" tint="-0.24994659260841701"/>
        </patternFill>
      </fill>
      <border>
        <left style="thin">
          <color auto="1"/>
        </left>
        <right style="thin">
          <color auto="1"/>
        </right>
        <top style="hair">
          <color auto="1"/>
        </top>
        <bottom style="hair">
          <color auto="1"/>
        </bottom>
      </border>
    </dxf>
    <dxf>
      <font>
        <b val="0"/>
        <i val="0"/>
        <color theme="0" tint="-0.34998626667073579"/>
      </font>
      <fill>
        <patternFill>
          <bgColor theme="0"/>
        </patternFill>
      </fill>
    </dxf>
    <dxf>
      <font>
        <b val="0"/>
        <i val="0"/>
        <color theme="0"/>
      </font>
      <fill>
        <patternFill patternType="solid">
          <bgColor theme="4" tint="-0.24994659260841701"/>
        </patternFill>
      </fill>
      <border>
        <left style="thin">
          <color auto="1"/>
        </left>
        <right style="thin">
          <color auto="1"/>
        </right>
        <top style="thin">
          <color auto="1"/>
        </top>
        <bottom style="thin">
          <color auto="1"/>
        </bottom>
      </border>
    </dxf>
    <dxf>
      <fill>
        <patternFill>
          <bgColor theme="0"/>
        </patternFill>
      </fill>
    </dxf>
    <dxf>
      <font>
        <b val="0"/>
        <i val="0"/>
        <color theme="0" tint="-0.34998626667073579"/>
      </font>
      <fill>
        <patternFill>
          <bgColor theme="0"/>
        </patternFill>
      </fill>
    </dxf>
    <dxf>
      <font>
        <b/>
        <i val="0"/>
        <color theme="1"/>
      </font>
      <fill>
        <patternFill patternType="solid">
          <bgColor theme="8" tint="0.79998168889431442"/>
        </patternFill>
      </fill>
      <border>
        <left style="thin">
          <color auto="1"/>
        </left>
        <right style="thin">
          <color auto="1"/>
        </right>
        <top style="thin">
          <color auto="1"/>
        </top>
        <bottom style="thin">
          <color auto="1"/>
        </bottom>
      </border>
    </dxf>
    <dxf>
      <font>
        <b/>
        <i val="0"/>
        <color theme="1"/>
      </font>
      <fill>
        <patternFill patternType="solid">
          <bgColor theme="8" tint="0.79998168889431442"/>
        </patternFill>
      </fill>
      <border>
        <left style="thin">
          <color auto="1"/>
        </left>
        <right style="thin">
          <color auto="1"/>
        </right>
        <top style="thin">
          <color auto="1"/>
        </top>
        <bottom style="thin">
          <color auto="1"/>
        </bottom>
      </border>
    </dxf>
    <dxf>
      <fill>
        <patternFill>
          <bgColor rgb="FFFFEFFF"/>
        </patternFill>
      </fill>
    </dxf>
    <dxf>
      <fill>
        <patternFill>
          <bgColor theme="0"/>
        </patternFill>
      </fill>
    </dxf>
    <dxf>
      <font>
        <b val="0"/>
        <i val="0"/>
        <color theme="1"/>
      </font>
      <fill>
        <patternFill patternType="solid">
          <bgColor theme="8" tint="0.79998168889431442"/>
        </patternFill>
      </fill>
      <border>
        <left style="thin">
          <color auto="1"/>
        </left>
        <right style="thin">
          <color auto="1"/>
        </right>
        <top style="thin">
          <color auto="1"/>
        </top>
        <bottom style="thin">
          <color auto="1"/>
        </bottom>
      </border>
    </dxf>
    <dxf>
      <fill>
        <patternFill>
          <bgColor theme="0"/>
        </patternFill>
      </fill>
    </dxf>
    <dxf>
      <font>
        <color theme="0" tint="-0.24994659260841701"/>
      </font>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2"/>
      </font>
      <fill>
        <patternFill patternType="solid">
          <bgColor theme="2"/>
        </patternFill>
      </fill>
    </dxf>
    <dxf>
      <fill>
        <patternFill>
          <bgColor rgb="FFFFEFFF"/>
        </patternFill>
      </fill>
    </dxf>
    <dxf>
      <font>
        <color theme="0" tint="-0.24994659260841701"/>
      </font>
    </dxf>
    <dxf>
      <font>
        <color theme="0" tint="-0.24994659260841701"/>
      </font>
    </dxf>
    <dxf>
      <font>
        <color theme="0" tint="-0.24994659260841701"/>
      </font>
    </dxf>
    <dxf>
      <font>
        <color theme="0" tint="-0.24994659260841701"/>
      </font>
    </dxf>
    <dxf>
      <font>
        <b val="0"/>
        <i val="0"/>
        <color theme="0" tint="-0.24994659260841701"/>
      </font>
      <fill>
        <patternFill patternType="none">
          <bgColor auto="1"/>
        </patternFill>
      </fill>
      <border>
        <left/>
      </border>
    </dxf>
    <dxf>
      <font>
        <color theme="0" tint="-0.24994659260841701"/>
      </font>
    </dxf>
    <dxf>
      <font>
        <color theme="0" tint="-0.24994659260841701"/>
      </font>
    </dxf>
    <dxf>
      <font>
        <b val="0"/>
        <i val="0"/>
        <color theme="0" tint="-0.24994659260841701"/>
      </font>
      <fill>
        <patternFill patternType="none">
          <bgColor auto="1"/>
        </patternFill>
      </fill>
    </dxf>
    <dxf>
      <font>
        <b val="0"/>
        <i val="0"/>
        <color theme="0" tint="-0.24994659260841701"/>
      </font>
      <fill>
        <patternFill patternType="none">
          <bgColor auto="1"/>
        </patternFill>
      </fill>
      <border>
        <left/>
      </border>
    </dxf>
    <dxf>
      <font>
        <b/>
        <i val="0"/>
        <color rgb="FF0563C1"/>
      </font>
      <fill>
        <patternFill patternType="solid">
          <bgColor theme="0"/>
        </patternFill>
      </fill>
      <border>
        <left style="thin">
          <color auto="1"/>
        </left>
        <right style="thin">
          <color auto="1"/>
        </right>
        <top style="thin">
          <color auto="1"/>
        </top>
        <bottom style="hair">
          <color auto="1"/>
        </bottom>
      </border>
    </dxf>
    <dxf>
      <font>
        <b val="0"/>
        <i val="0"/>
        <color theme="0" tint="-0.34998626667073579"/>
      </font>
      <fill>
        <patternFill>
          <bgColor theme="0"/>
        </patternFill>
      </fill>
    </dxf>
    <dxf>
      <font>
        <color theme="4" tint="-0.499984740745262"/>
      </font>
      <fill>
        <patternFill>
          <bgColor theme="4" tint="-0.499984740745262"/>
        </patternFill>
      </fill>
    </dxf>
    <dxf>
      <font>
        <color theme="0"/>
      </font>
      <fill>
        <patternFill>
          <bgColor theme="4" tint="-0.499984740745262"/>
        </patternFill>
      </fill>
    </dxf>
    <dxf>
      <fill>
        <patternFill>
          <bgColor theme="8" tint="0.79998168889431442"/>
        </patternFill>
      </fill>
    </dxf>
    <dxf>
      <font>
        <color theme="0"/>
      </font>
      <fill>
        <patternFill>
          <bgColor theme="0"/>
        </patternFill>
      </fill>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color theme="0"/>
      </font>
      <fill>
        <patternFill>
          <bgColor theme="0"/>
        </patternFill>
      </fill>
    </dxf>
    <dxf>
      <fill>
        <patternFill>
          <bgColor theme="0"/>
        </patternFill>
      </fill>
    </dxf>
    <dxf>
      <font>
        <color rgb="FF305598"/>
      </font>
    </dxf>
    <dxf>
      <font>
        <color theme="0"/>
      </font>
      <fill>
        <patternFill>
          <bgColor theme="0"/>
        </patternFill>
      </fill>
    </dxf>
    <dxf>
      <font>
        <b val="0"/>
        <i val="0"/>
        <color theme="0" tint="-0.34998626667073579"/>
      </font>
      <fill>
        <patternFill>
          <bgColor theme="0"/>
        </patternFill>
      </fill>
    </dxf>
    <dxf>
      <font>
        <color theme="0" tint="-0.24994659260841701"/>
      </font>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dxf>
    <dxf>
      <font>
        <color theme="0" tint="-0.24994659260841701"/>
      </font>
    </dxf>
    <dxf>
      <font>
        <color theme="0" tint="-0.24994659260841701"/>
      </font>
    </dxf>
    <dxf>
      <font>
        <color theme="2"/>
      </font>
      <fill>
        <patternFill>
          <bgColor theme="2"/>
        </patternFill>
      </fill>
      <border>
        <left style="thin">
          <color auto="1"/>
        </left>
        <right style="thin">
          <color auto="1"/>
        </right>
        <top style="thin">
          <color auto="1"/>
        </top>
        <bottom style="thin">
          <color auto="1"/>
        </bottom>
      </border>
    </dxf>
    <dxf>
      <font>
        <b val="0"/>
        <i val="0"/>
        <color theme="0" tint="-0.24994659260841701"/>
      </font>
      <fill>
        <patternFill patternType="none">
          <bgColor auto="1"/>
        </patternFill>
      </fill>
      <border>
        <left/>
      </border>
    </dxf>
    <dxf>
      <font>
        <color theme="0"/>
      </font>
      <fill>
        <patternFill>
          <bgColor theme="0"/>
        </patternFill>
      </fill>
    </dxf>
    <dxf>
      <font>
        <color theme="0"/>
      </font>
      <fill>
        <patternFill>
          <bgColor theme="0"/>
        </patternFill>
      </fill>
    </dxf>
    <dxf>
      <font>
        <color theme="0"/>
      </font>
      <fill>
        <patternFill patternType="solid">
          <bgColor theme="0"/>
        </patternFill>
      </fill>
    </dxf>
    <dxf>
      <font>
        <color theme="0"/>
      </font>
      <fill>
        <patternFill>
          <bgColor theme="0"/>
        </patternFill>
      </fill>
    </dxf>
    <dxf>
      <font>
        <color theme="0"/>
      </font>
      <fill>
        <patternFill>
          <bgColor theme="0"/>
        </patternFill>
      </fill>
    </dxf>
    <dxf>
      <font>
        <color theme="0" tint="-0.24994659260841701"/>
      </font>
    </dxf>
    <dxf>
      <font>
        <color theme="0" tint="-0.24994659260841701"/>
      </font>
    </dxf>
    <dxf>
      <font>
        <color theme="0" tint="-0.24994659260841701"/>
      </font>
    </dxf>
    <dxf>
      <font>
        <color theme="0" tint="-0.24994659260841701"/>
      </font>
    </dxf>
    <dxf>
      <font>
        <b val="0"/>
        <i val="0"/>
        <color theme="0" tint="-0.24994659260841701"/>
      </font>
      <fill>
        <patternFill patternType="none">
          <bgColor auto="1"/>
        </patternFill>
      </fill>
      <border>
        <left/>
      </border>
    </dxf>
    <dxf>
      <fill>
        <patternFill>
          <bgColor rgb="FFFFEFFF"/>
        </patternFill>
      </fill>
    </dxf>
    <dxf>
      <font>
        <color theme="0" tint="-0.24994659260841701"/>
      </font>
    </dxf>
    <dxf>
      <fill>
        <patternFill>
          <bgColor theme="0"/>
        </patternFill>
      </fill>
    </dxf>
    <dxf>
      <font>
        <color theme="0" tint="-0.24994659260841701"/>
      </font>
    </dxf>
    <dxf>
      <font>
        <color theme="0" tint="-0.24994659260841701"/>
      </font>
    </dxf>
    <dxf>
      <font>
        <color theme="0" tint="-0.24994659260841701"/>
      </font>
    </dxf>
    <dxf>
      <font>
        <b val="0"/>
        <i val="0"/>
        <color theme="2"/>
      </font>
      <fill>
        <patternFill patternType="solid">
          <bgColor theme="2"/>
        </patternFill>
      </fill>
    </dxf>
    <dxf>
      <fill>
        <patternFill>
          <bgColor theme="0"/>
        </patternFill>
      </fill>
    </dxf>
    <dxf>
      <font>
        <b val="0"/>
        <i val="0"/>
        <color theme="0" tint="-0.24994659260841701"/>
      </font>
      <fill>
        <patternFill patternType="none">
          <bgColor auto="1"/>
        </patternFill>
      </fill>
      <border>
        <left/>
      </border>
    </dxf>
    <dxf>
      <font>
        <color theme="0" tint="-0.24994659260841701"/>
      </font>
    </dxf>
    <dxf>
      <font>
        <b val="0"/>
        <i val="0"/>
        <color theme="0" tint="-0.24994659260841701"/>
      </font>
      <fill>
        <patternFill patternType="none">
          <bgColor auto="1"/>
        </patternFill>
      </fill>
    </dxf>
    <dxf>
      <font>
        <color theme="0"/>
      </font>
      <fill>
        <patternFill>
          <bgColor theme="0"/>
        </patternFill>
      </fill>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color theme="0" tint="-0.24994659260841701"/>
      </font>
    </dxf>
    <dxf>
      <font>
        <b val="0"/>
        <i val="0"/>
        <color theme="0" tint="-0.24994659260841701"/>
      </font>
      <fill>
        <patternFill>
          <bgColor theme="8" tint="0.79998168889431442"/>
        </patternFill>
      </fill>
    </dxf>
    <dxf>
      <fill>
        <patternFill>
          <bgColor theme="0"/>
        </patternFill>
      </fill>
    </dxf>
    <dxf>
      <font>
        <b/>
        <i val="0"/>
        <color theme="0"/>
      </font>
    </dxf>
    <dxf>
      <font>
        <b/>
        <i val="0"/>
        <color theme="0"/>
      </font>
      <fill>
        <patternFill patternType="solid">
          <bgColor theme="4" tint="-0.24994659260841701"/>
        </patternFill>
      </fill>
      <border>
        <left style="thin">
          <color auto="1"/>
        </left>
        <right style="thin">
          <color auto="1"/>
        </right>
        <top style="thin">
          <color auto="1"/>
        </top>
        <bottom style="thin">
          <color auto="1"/>
        </bottom>
      </border>
    </dxf>
    <dxf>
      <font>
        <b/>
        <i val="0"/>
        <color theme="0"/>
      </font>
      <fill>
        <patternFill patternType="solid">
          <bgColor theme="4" tint="-0.24994659260841701"/>
        </patternFill>
      </fill>
      <border>
        <left style="thin">
          <color auto="1"/>
        </left>
        <right style="thin">
          <color auto="1"/>
        </right>
        <top style="thin">
          <color auto="1"/>
        </top>
        <bottom style="thin">
          <color auto="1"/>
        </bottom>
      </border>
    </dxf>
    <dxf>
      <font>
        <color theme="0"/>
      </font>
      <fill>
        <patternFill>
          <bgColor rgb="FF305598"/>
        </patternFill>
      </fill>
      <border>
        <left/>
      </border>
    </dxf>
    <dxf>
      <font>
        <b val="0"/>
        <i val="0"/>
        <color theme="0" tint="-0.34998626667073579"/>
      </font>
      <fill>
        <patternFill>
          <bgColor theme="0"/>
        </patternFill>
      </fill>
    </dxf>
    <dxf>
      <font>
        <color theme="0"/>
      </font>
      <fill>
        <patternFill>
          <bgColor rgb="FF305598"/>
        </patternFill>
      </fill>
      <border>
        <left/>
      </border>
    </dxf>
    <dxf>
      <font>
        <b val="0"/>
        <i val="0"/>
        <color theme="0" tint="-0.24994659260841701"/>
      </font>
      <fill>
        <patternFill patternType="none">
          <bgColor auto="1"/>
        </patternFill>
      </fill>
      <border>
        <left/>
      </border>
    </dxf>
    <dxf>
      <font>
        <color theme="0"/>
      </font>
      <fill>
        <patternFill>
          <bgColor rgb="FF305598"/>
        </patternFill>
      </fill>
      <border>
        <left/>
      </border>
    </dxf>
    <dxf>
      <font>
        <b val="0"/>
        <i val="0"/>
        <color theme="0" tint="-0.24994659260841701"/>
      </font>
      <fill>
        <patternFill patternType="none">
          <bgColor auto="1"/>
        </patternFill>
      </fill>
    </dxf>
    <dxf>
      <font>
        <color theme="0"/>
      </font>
      <fill>
        <patternFill>
          <bgColor rgb="FF305598"/>
        </patternFill>
      </fill>
      <border>
        <left/>
      </border>
    </dxf>
    <dxf>
      <font>
        <b val="0"/>
        <i val="0"/>
        <color theme="2"/>
      </font>
      <fill>
        <patternFill patternType="solid">
          <bgColor theme="2"/>
        </patternFill>
      </fill>
    </dxf>
    <dxf>
      <font>
        <color theme="0" tint="-0.24994659260841701"/>
      </font>
    </dxf>
    <dxf>
      <font>
        <color theme="0" tint="-0.24994659260841701"/>
      </font>
    </dxf>
    <dxf>
      <font>
        <color theme="0" tint="-0.24994659260841701"/>
      </font>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color theme="0" tint="-0.24994659260841701"/>
      </font>
    </dxf>
    <dxf>
      <font>
        <color theme="0" tint="-0.24994659260841701"/>
      </font>
    </dxf>
    <dxf>
      <font>
        <b val="0"/>
        <i val="0"/>
        <color theme="0" tint="-0.24994659260841701"/>
      </font>
      <fill>
        <patternFill patternType="none">
          <bgColor auto="1"/>
        </patternFill>
      </fill>
      <border>
        <left/>
      </border>
    </dxf>
    <dxf>
      <font>
        <color theme="0" tint="-0.24994659260841701"/>
      </font>
    </dxf>
    <dxf>
      <font>
        <b val="0"/>
        <i val="0"/>
        <color theme="0" tint="-0.34998626667073579"/>
      </font>
      <fill>
        <patternFill>
          <bgColor theme="0"/>
        </patternFill>
      </fill>
    </dxf>
    <dxf>
      <font>
        <color theme="0" tint="-0.24994659260841701"/>
      </font>
    </dxf>
    <dxf>
      <font>
        <color theme="0" tint="-0.24994659260841701"/>
      </font>
    </dxf>
    <dxf>
      <font>
        <color theme="0" tint="-0.24994659260841701"/>
      </font>
    </dxf>
    <dxf>
      <font>
        <b val="0"/>
        <i val="0"/>
        <color theme="0" tint="-0.24994659260841701"/>
      </font>
      <fill>
        <patternFill patternType="none">
          <bgColor auto="1"/>
        </patternFill>
      </fill>
      <border>
        <left/>
      </border>
    </dxf>
    <dxf>
      <font>
        <color theme="0"/>
      </font>
      <fill>
        <patternFill>
          <bgColor rgb="FF305598"/>
        </patternFill>
      </fill>
      <border>
        <left/>
      </border>
    </dxf>
    <dxf>
      <font>
        <b val="0"/>
        <i val="0"/>
        <color theme="0" tint="-0.24994659260841701"/>
      </font>
      <fill>
        <patternFill patternType="none">
          <bgColor auto="1"/>
        </patternFill>
      </fill>
      <border>
        <left/>
      </border>
    </dxf>
    <dxf>
      <font>
        <b val="0"/>
        <i val="0"/>
        <color theme="0" tint="-0.34998626667073579"/>
      </font>
      <fill>
        <patternFill>
          <bgColor theme="0"/>
        </patternFill>
      </fill>
    </dxf>
    <dxf>
      <font>
        <color theme="0"/>
      </font>
      <fill>
        <patternFill>
          <bgColor rgb="FF305598"/>
        </patternFill>
      </fill>
      <border>
        <left/>
      </border>
    </dxf>
    <dxf>
      <font>
        <color theme="0"/>
      </font>
      <fill>
        <patternFill>
          <bgColor rgb="FF305598"/>
        </patternFill>
      </fill>
      <border>
        <left/>
      </border>
    </dxf>
    <dxf>
      <font>
        <color theme="0"/>
      </font>
      <fill>
        <patternFill>
          <bgColor rgb="FF305598"/>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color theme="0" tint="-0.24994659260841701"/>
      </font>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color theme="0" tint="-0.24994659260841701"/>
      </font>
    </dxf>
    <dxf>
      <font>
        <color theme="0" tint="-0.24994659260841701"/>
      </font>
    </dxf>
    <dxf>
      <font>
        <color theme="0" tint="-0.24994659260841701"/>
      </font>
    </dxf>
    <dxf>
      <font>
        <color theme="0" tint="-0.24994659260841701"/>
      </font>
    </dxf>
    <dxf>
      <font>
        <b val="0"/>
        <i val="0"/>
        <color theme="0" tint="-0.34998626667073579"/>
      </font>
      <fill>
        <patternFill>
          <bgColor theme="0"/>
        </patternFill>
      </fill>
    </dxf>
    <dxf>
      <font>
        <b val="0"/>
        <i val="0"/>
        <color theme="2"/>
      </font>
      <fill>
        <patternFill patternType="solid">
          <bgColor theme="2"/>
        </patternFill>
      </fill>
    </dxf>
    <dxf>
      <font>
        <b val="0"/>
        <i val="0"/>
        <color theme="0" tint="-0.34998626667073579"/>
      </font>
      <fill>
        <patternFill>
          <bgColor theme="0"/>
        </patternFill>
      </fill>
    </dxf>
    <dxf>
      <font>
        <b val="0"/>
        <i val="0"/>
        <color theme="0" tint="-0.24994659260841701"/>
      </font>
      <fill>
        <patternFill patternType="none">
          <bgColor auto="1"/>
        </patternFill>
      </fill>
      <border>
        <left/>
      </border>
    </dxf>
    <dxf>
      <font>
        <color theme="4" tint="-0.24994659260841701"/>
      </font>
      <fill>
        <patternFill>
          <bgColor rgb="FFFFFFCC"/>
        </patternFill>
      </fill>
    </dxf>
    <dxf>
      <font>
        <color theme="4" tint="-0.24994659260841701"/>
      </font>
      <fill>
        <patternFill>
          <bgColor rgb="FFFFFFCC"/>
        </patternFill>
      </fill>
    </dxf>
    <dxf>
      <fill>
        <patternFill>
          <bgColor theme="0"/>
        </patternFill>
      </fill>
    </dxf>
    <dxf>
      <font>
        <color theme="0"/>
      </font>
      <fill>
        <patternFill>
          <bgColor theme="0"/>
        </patternFill>
      </fill>
    </dxf>
    <dxf>
      <font>
        <color rgb="FF305598"/>
      </font>
    </dxf>
    <dxf>
      <font>
        <color theme="0"/>
      </font>
      <fill>
        <patternFill>
          <bgColor theme="0"/>
        </patternFill>
      </fill>
    </dxf>
    <dxf>
      <font>
        <color theme="0"/>
      </font>
      <fill>
        <patternFill>
          <bgColor theme="0"/>
        </patternFill>
      </fill>
    </dxf>
    <dxf>
      <font>
        <b val="0"/>
        <i val="0"/>
        <color theme="2"/>
      </font>
      <fill>
        <patternFill patternType="solid">
          <bgColor theme="2"/>
        </patternFill>
      </fill>
    </dxf>
    <dxf>
      <font>
        <color theme="0"/>
      </font>
      <fill>
        <patternFill>
          <bgColor theme="0"/>
        </patternFill>
      </fill>
    </dxf>
    <dxf>
      <font>
        <color theme="0"/>
      </font>
      <fill>
        <patternFill>
          <bgColor theme="0"/>
        </patternFill>
      </fill>
    </dxf>
    <dxf>
      <font>
        <color rgb="FF305598"/>
      </font>
    </dxf>
    <dxf>
      <font>
        <color theme="0"/>
      </font>
      <fill>
        <patternFill>
          <bgColor theme="0"/>
        </patternFill>
      </fill>
    </dxf>
    <dxf>
      <font>
        <color theme="0"/>
      </font>
      <fill>
        <patternFill>
          <bgColor theme="0"/>
        </patternFill>
      </fill>
    </dxf>
    <dxf>
      <font>
        <color theme="0" tint="-0.24994659260841701"/>
      </font>
    </dxf>
    <dxf>
      <font>
        <color theme="0"/>
      </font>
      <fill>
        <patternFill patternType="solid">
          <bgColor theme="0"/>
        </patternFill>
      </fill>
    </dxf>
    <dxf>
      <font>
        <color theme="0" tint="-0.24994659260841701"/>
      </font>
    </dxf>
    <dxf>
      <font>
        <color theme="0" tint="-0.24994659260841701"/>
      </font>
    </dxf>
    <dxf>
      <font>
        <b val="0"/>
        <i val="0"/>
        <color theme="0" tint="-0.24994659260841701"/>
      </font>
      <fill>
        <patternFill patternType="none">
          <bgColor auto="1"/>
        </patternFill>
      </fill>
    </dxf>
    <dxf>
      <font>
        <b val="0"/>
        <i val="0"/>
        <color theme="0" tint="-0.24994659260841701"/>
      </font>
      <fill>
        <patternFill patternType="none">
          <bgColor auto="1"/>
        </patternFill>
      </fill>
      <border>
        <left/>
      </border>
    </dxf>
    <dxf>
      <font>
        <color theme="0"/>
      </font>
      <fill>
        <patternFill>
          <bgColor theme="0"/>
        </patternFill>
      </fill>
    </dxf>
    <dxf>
      <font>
        <color theme="0" tint="-0.24994659260841701"/>
      </font>
    </dxf>
    <dxf>
      <fill>
        <patternFill>
          <bgColor theme="0"/>
        </patternFill>
      </fill>
    </dxf>
    <dxf>
      <font>
        <color theme="2"/>
      </font>
      <fill>
        <patternFill>
          <bgColor theme="2"/>
        </patternFill>
      </fill>
      <border>
        <left style="thin">
          <color auto="1"/>
        </left>
        <right style="thin">
          <color auto="1"/>
        </right>
        <top style="thin">
          <color auto="1"/>
        </top>
        <bottom style="thin">
          <color auto="1"/>
        </bottom>
      </border>
    </dxf>
    <dxf>
      <font>
        <b val="0"/>
        <i val="0"/>
        <color theme="0" tint="-0.24994659260841701"/>
      </font>
      <fill>
        <patternFill patternType="none">
          <bgColor auto="1"/>
        </patternFill>
      </fill>
      <border>
        <left/>
      </border>
    </dxf>
    <dxf>
      <font>
        <color theme="0" tint="-0.24994659260841701"/>
      </font>
    </dxf>
    <dxf>
      <font>
        <color theme="0"/>
      </font>
      <fill>
        <patternFill patternType="solid">
          <bgColor theme="0"/>
        </patternFill>
      </fill>
    </dxf>
    <dxf>
      <font>
        <color theme="0" tint="-0.24994659260841701"/>
      </font>
    </dxf>
    <dxf>
      <font>
        <color theme="2"/>
      </font>
      <fill>
        <patternFill>
          <bgColor theme="2"/>
        </patternFill>
      </fill>
      <border>
        <left style="thin">
          <color auto="1"/>
        </left>
        <right style="thin">
          <color auto="1"/>
        </right>
        <top style="thin">
          <color auto="1"/>
        </top>
        <bottom style="thin">
          <color auto="1"/>
        </bottom>
      </border>
    </dxf>
    <dxf>
      <font>
        <color theme="0" tint="-0.24994659260841701"/>
      </font>
    </dxf>
    <dxf>
      <font>
        <color theme="0" tint="-0.24994659260841701"/>
      </font>
    </dxf>
    <dxf>
      <font>
        <color theme="0"/>
      </font>
      <fill>
        <patternFill patternType="solid">
          <bgColor theme="0"/>
        </patternFill>
      </fill>
    </dxf>
    <dxf>
      <font>
        <color theme="0"/>
      </font>
      <fill>
        <patternFill>
          <bgColor theme="0"/>
        </patternFill>
      </fill>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dxf>
    <dxf>
      <font>
        <b val="0"/>
        <i val="0"/>
        <color theme="0" tint="-0.24994659260841701"/>
      </font>
      <fill>
        <patternFill patternType="none">
          <bgColor auto="1"/>
        </patternFill>
      </fill>
      <border>
        <left/>
      </border>
    </dxf>
    <dxf>
      <font>
        <color theme="0" tint="-0.24994659260841701"/>
      </font>
    </dxf>
    <dxf>
      <font>
        <color theme="0" tint="-0.24994659260841701"/>
      </font>
    </dxf>
    <dxf>
      <font>
        <color theme="0"/>
      </font>
      <fill>
        <patternFill patternType="solid">
          <bgColor theme="0"/>
        </patternFill>
      </fill>
    </dxf>
    <dxf>
      <font>
        <color theme="0" tint="-0.24994659260841701"/>
      </font>
    </dxf>
    <dxf>
      <font>
        <color theme="0"/>
      </font>
      <fill>
        <patternFill>
          <bgColor theme="0"/>
        </patternFill>
      </fill>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color theme="0" tint="-0.24994659260841701"/>
      </font>
    </dxf>
    <dxf>
      <font>
        <color theme="0" tint="-0.24994659260841701"/>
      </font>
    </dxf>
    <dxf>
      <font>
        <color theme="0" tint="-0.24994659260841701"/>
      </font>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ill>
        <patternFill>
          <bgColor theme="0"/>
        </patternFill>
      </fill>
    </dxf>
    <dxf>
      <fill>
        <patternFill>
          <bgColor theme="0"/>
        </patternFill>
      </fill>
    </dxf>
    <dxf>
      <font>
        <b val="0"/>
        <i val="0"/>
        <color theme="0" tint="-0.34998626667073579"/>
      </font>
      <fill>
        <patternFill>
          <bgColor theme="0"/>
        </patternFill>
      </fill>
    </dxf>
    <dxf>
      <fill>
        <patternFill>
          <bgColor theme="0"/>
        </patternFill>
      </fill>
    </dxf>
    <dxf>
      <font>
        <b/>
        <i val="0"/>
        <color theme="1"/>
      </font>
      <fill>
        <patternFill patternType="solid">
          <bgColor theme="8" tint="0.79998168889431442"/>
        </patternFill>
      </fill>
      <border>
        <left style="thin">
          <color auto="1"/>
        </left>
        <right style="hair">
          <color auto="1"/>
        </right>
        <top style="thin">
          <color auto="1"/>
        </top>
        <bottom style="thin">
          <color auto="1"/>
        </bottom>
      </border>
    </dxf>
    <dxf>
      <font>
        <b/>
        <i val="0"/>
        <color theme="1"/>
      </font>
      <fill>
        <patternFill patternType="solid">
          <bgColor theme="8" tint="0.79998168889431442"/>
        </patternFill>
      </fill>
      <border>
        <left style="thin">
          <color auto="1"/>
        </left>
        <right style="hair">
          <color auto="1"/>
        </right>
        <top style="thin">
          <color auto="1"/>
        </top>
        <bottom style="thin">
          <color auto="1"/>
        </bottom>
      </border>
    </dxf>
    <dxf>
      <font>
        <b val="0"/>
        <i val="0"/>
        <color theme="0" tint="-0.24994659260841701"/>
      </font>
      <fill>
        <patternFill patternType="none">
          <bgColor auto="1"/>
        </patternFill>
      </fill>
      <border>
        <left/>
      </border>
    </dxf>
    <dxf>
      <font>
        <color theme="0" tint="-0.24994659260841701"/>
      </font>
    </dxf>
    <dxf>
      <font>
        <color theme="0" tint="-0.24994659260841701"/>
      </font>
    </dxf>
    <dxf>
      <fill>
        <patternFill>
          <bgColor theme="0"/>
        </patternFill>
      </fill>
    </dxf>
    <dxf>
      <font>
        <b val="0"/>
        <i val="0"/>
        <color theme="0" tint="-0.24994659260841701"/>
      </font>
      <fill>
        <patternFill patternType="none">
          <bgColor auto="1"/>
        </patternFill>
      </fill>
      <border>
        <left/>
      </border>
    </dxf>
    <dxf>
      <font>
        <color theme="0" tint="-0.24994659260841701"/>
      </font>
    </dxf>
    <dxf>
      <font>
        <color theme="0" tint="-0.24994659260841701"/>
      </font>
    </dxf>
    <dxf>
      <font>
        <b val="0"/>
        <i val="0"/>
        <color theme="0" tint="-0.24994659260841701"/>
      </font>
      <fill>
        <patternFill patternType="none">
          <bgColor auto="1"/>
        </patternFill>
      </fill>
      <border>
        <left/>
      </border>
    </dxf>
    <dxf>
      <font>
        <b val="0"/>
        <i val="0"/>
        <color theme="2"/>
      </font>
      <fill>
        <patternFill patternType="solid">
          <bgColor theme="2"/>
        </patternFill>
      </fill>
    </dxf>
    <dxf>
      <font>
        <b val="0"/>
        <i val="0"/>
        <color theme="0" tint="-0.24994659260841701"/>
      </font>
      <fill>
        <patternFill patternType="none">
          <bgColor auto="1"/>
        </patternFill>
      </fill>
      <border>
        <left/>
      </border>
    </dxf>
    <dxf>
      <font>
        <color theme="0" tint="-0.24994659260841701"/>
      </font>
    </dxf>
    <dxf>
      <font>
        <b val="0"/>
        <i val="0"/>
        <color theme="0" tint="-0.24994659260841701"/>
      </font>
      <fill>
        <patternFill patternType="none">
          <bgColor auto="1"/>
        </patternFill>
      </fill>
      <border>
        <left/>
      </border>
    </dxf>
    <dxf>
      <font>
        <color theme="0" tint="-0.24994659260841701"/>
      </font>
    </dxf>
    <dxf>
      <font>
        <b val="0"/>
        <i val="0"/>
        <color theme="0" tint="-0.24994659260841701"/>
      </font>
      <fill>
        <patternFill patternType="none">
          <bgColor auto="1"/>
        </patternFill>
      </fill>
      <border>
        <left/>
      </border>
    </dxf>
    <dxf>
      <font>
        <color theme="0" tint="-0.24994659260841701"/>
      </font>
    </dxf>
    <dxf>
      <font>
        <b val="0"/>
        <i val="0"/>
        <color theme="0" tint="-0.34998626667073579"/>
      </font>
      <fill>
        <patternFill>
          <bgColor theme="0"/>
        </patternFill>
      </fill>
    </dxf>
    <dxf>
      <fill>
        <patternFill>
          <bgColor theme="0"/>
        </patternFill>
      </fill>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color theme="0" tint="-0.24994659260841701"/>
      </font>
    </dxf>
    <dxf>
      <font>
        <b val="0"/>
        <i val="0"/>
        <color theme="2"/>
      </font>
      <fill>
        <patternFill patternType="solid">
          <bgColor theme="2"/>
        </patternFill>
      </fill>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color theme="0" tint="-0.24994659260841701"/>
      </font>
    </dxf>
    <dxf>
      <font>
        <color theme="0" tint="-0.24994659260841701"/>
      </font>
    </dxf>
    <dxf>
      <font>
        <color theme="0" tint="-0.24994659260841701"/>
      </font>
    </dxf>
    <dxf>
      <font>
        <b val="0"/>
        <i val="0"/>
        <color theme="2"/>
      </font>
      <fill>
        <patternFill patternType="solid">
          <bgColor theme="2"/>
        </patternFill>
      </fill>
    </dxf>
    <dxf>
      <font>
        <color theme="0"/>
      </font>
    </dxf>
    <dxf>
      <font>
        <color theme="0"/>
      </font>
    </dxf>
    <dxf>
      <font>
        <color theme="0"/>
      </font>
      <fill>
        <patternFill>
          <bgColor theme="0"/>
        </patternFill>
      </fill>
    </dxf>
    <dxf>
      <font>
        <color theme="0"/>
      </font>
      <fill>
        <patternFill>
          <bgColor theme="0"/>
        </patternFill>
      </fill>
    </dxf>
    <dxf>
      <font>
        <b val="0"/>
        <i val="0"/>
        <color theme="0" tint="-0.34998626667073579"/>
      </font>
      <fill>
        <patternFill>
          <bgColor theme="0"/>
        </patternFill>
      </fill>
    </dxf>
    <dxf>
      <font>
        <color theme="0" tint="-0.24994659260841701"/>
      </font>
    </dxf>
    <dxf>
      <font>
        <color theme="0" tint="-0.24994659260841701"/>
      </font>
    </dxf>
    <dxf>
      <font>
        <color theme="0"/>
      </font>
      <fill>
        <patternFill>
          <bgColor theme="0"/>
        </patternFill>
      </fill>
    </dxf>
    <dxf>
      <font>
        <b val="0"/>
        <i val="0"/>
        <color theme="0" tint="-0.24994659260841701"/>
      </font>
      <fill>
        <patternFill patternType="none">
          <bgColor auto="1"/>
        </patternFill>
      </fill>
      <border>
        <left/>
      </border>
    </dxf>
    <dxf>
      <font>
        <color theme="0" tint="-0.24994659260841701"/>
      </font>
    </dxf>
    <dxf>
      <font>
        <b val="0"/>
        <i val="0"/>
        <color theme="0" tint="-0.24994659260841701"/>
      </font>
      <fill>
        <patternFill patternType="none">
          <bgColor auto="1"/>
        </patternFill>
      </fill>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color theme="0" tint="-0.24994659260841701"/>
      </font>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color theme="0"/>
      </font>
      <fill>
        <patternFill>
          <bgColor theme="0"/>
        </patternFill>
      </fill>
    </dxf>
    <dxf>
      <font>
        <color theme="0"/>
      </font>
      <fill>
        <patternFill>
          <bgColor theme="0"/>
        </patternFill>
      </fill>
    </dxf>
    <dxf>
      <font>
        <color theme="0" tint="-0.24994659260841701"/>
      </font>
    </dxf>
    <dxf>
      <font>
        <b val="0"/>
        <i val="0"/>
        <color theme="0" tint="-0.34998626667073579"/>
      </font>
      <fill>
        <patternFill>
          <bgColor theme="0"/>
        </patternFill>
      </fill>
    </dxf>
    <dxf>
      <font>
        <color theme="0" tint="-0.24994659260841701"/>
      </font>
    </dxf>
    <dxf>
      <font>
        <color theme="0" tint="-0.24994659260841701"/>
      </font>
    </dxf>
    <dxf>
      <font>
        <b val="0"/>
        <i val="0"/>
        <color theme="0" tint="-0.24994659260841701"/>
      </font>
      <fill>
        <patternFill patternType="none">
          <bgColor auto="1"/>
        </patternFill>
      </fill>
    </dxf>
    <dxf>
      <font>
        <color theme="0" tint="-0.24994659260841701"/>
      </font>
    </dxf>
    <dxf>
      <font>
        <b val="0"/>
        <i val="0"/>
        <color theme="0" tint="-0.24994659260841701"/>
      </font>
      <fill>
        <patternFill patternType="none">
          <bgColor auto="1"/>
        </patternFill>
      </fill>
      <border>
        <left/>
      </border>
    </dxf>
    <dxf>
      <font>
        <color theme="0"/>
      </font>
      <fill>
        <patternFill>
          <bgColor theme="0"/>
        </patternFill>
      </fill>
    </dxf>
    <dxf>
      <font>
        <color theme="0" tint="-0.24994659260841701"/>
      </font>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ill>
        <patternFill>
          <bgColor theme="8" tint="0.79998168889431442"/>
        </patternFill>
      </fill>
    </dxf>
    <dxf>
      <fill>
        <patternFill>
          <bgColor theme="8" tint="0.79998168889431442"/>
        </patternFill>
      </fill>
    </dxf>
    <dxf>
      <fill>
        <patternFill>
          <bgColor theme="0"/>
        </patternFill>
      </fill>
      <border>
        <left/>
        <right style="thin">
          <color auto="1"/>
        </right>
      </border>
    </dxf>
    <dxf>
      <font>
        <b/>
        <i val="0"/>
        <color theme="0"/>
      </font>
      <fill>
        <patternFill patternType="solid">
          <bgColor theme="4" tint="-0.24994659260841701"/>
        </patternFill>
      </fill>
      <border>
        <left style="thin">
          <color auto="1"/>
        </left>
        <right style="thin">
          <color auto="1"/>
        </right>
        <top style="thin">
          <color auto="1"/>
        </top>
        <bottom style="thin">
          <color auto="1"/>
        </bottom>
      </border>
    </dxf>
    <dxf>
      <font>
        <b/>
        <i val="0"/>
        <color theme="0"/>
      </font>
      <fill>
        <patternFill patternType="solid">
          <bgColor theme="4" tint="-0.24994659260841701"/>
        </patternFill>
      </fill>
      <border>
        <left style="thin">
          <color auto="1"/>
        </left>
        <right style="thin">
          <color auto="1"/>
        </right>
        <top style="thin">
          <color auto="1"/>
        </top>
        <bottom style="thin">
          <color auto="1"/>
        </bottom>
      </border>
    </dxf>
    <dxf>
      <font>
        <b val="0"/>
        <i val="0"/>
        <color theme="0" tint="-0.34998626667073579"/>
      </font>
      <fill>
        <patternFill>
          <bgColor theme="0"/>
        </patternFill>
      </fill>
    </dxf>
    <dxf>
      <font>
        <b val="0"/>
        <i val="0"/>
        <color theme="0"/>
      </font>
      <fill>
        <patternFill>
          <bgColor theme="0"/>
        </patternFill>
      </fill>
      <border>
        <left/>
        <right/>
        <bottom style="thin">
          <color theme="1"/>
        </bottom>
      </border>
    </dxf>
    <dxf>
      <font>
        <b val="0"/>
        <i val="0"/>
        <color theme="0"/>
      </font>
      <fill>
        <patternFill>
          <bgColor theme="0"/>
        </patternFill>
      </fill>
      <border>
        <left/>
        <right/>
        <bottom style="thin">
          <color theme="1"/>
        </bottom>
      </border>
    </dxf>
    <dxf>
      <font>
        <b val="0"/>
        <i val="0"/>
        <color theme="0"/>
      </font>
      <fill>
        <patternFill>
          <bgColor theme="0"/>
        </patternFill>
      </fill>
      <border>
        <left/>
        <right/>
        <bottom style="hair">
          <color auto="1"/>
        </bottom>
      </border>
    </dxf>
    <dxf>
      <font>
        <b val="0"/>
        <i val="0"/>
        <color theme="0"/>
      </font>
      <fill>
        <patternFill>
          <bgColor theme="0"/>
        </patternFill>
      </fill>
      <border>
        <left/>
        <right/>
        <bottom style="hair">
          <color auto="1"/>
        </bottom>
      </border>
    </dxf>
    <dxf>
      <font>
        <b val="0"/>
        <i val="0"/>
        <color theme="0"/>
      </font>
      <fill>
        <patternFill>
          <bgColor theme="0"/>
        </patternFill>
      </fill>
      <border>
        <left/>
        <right/>
        <bottom style="thin">
          <color theme="1"/>
        </bottom>
      </border>
    </dxf>
    <dxf>
      <font>
        <b val="0"/>
        <i val="0"/>
        <color theme="0"/>
      </font>
      <fill>
        <patternFill>
          <bgColor theme="0"/>
        </patternFill>
      </fill>
      <border>
        <left/>
        <right/>
        <bottom style="hair">
          <color auto="1"/>
        </bottom>
      </border>
    </dxf>
    <dxf>
      <font>
        <b val="0"/>
        <i val="0"/>
        <color theme="0"/>
      </font>
      <fill>
        <patternFill>
          <bgColor theme="0"/>
        </patternFill>
      </fill>
      <border>
        <left/>
        <right/>
        <bottom style="hair">
          <color auto="1"/>
        </bottom>
      </border>
    </dxf>
    <dxf>
      <font>
        <b val="0"/>
        <i val="0"/>
        <color theme="0" tint="-0.34998626667073579"/>
      </font>
      <fill>
        <patternFill>
          <bgColor theme="0"/>
        </patternFill>
      </fill>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2"/>
      </font>
      <fill>
        <patternFill patternType="solid">
          <bgColor theme="2"/>
        </patternFill>
      </fill>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34998626667073579"/>
      </font>
      <fill>
        <patternFill>
          <bgColor theme="0"/>
        </patternFill>
      </fill>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2"/>
      </font>
      <fill>
        <patternFill patternType="solid">
          <bgColor theme="2"/>
        </patternFill>
      </fill>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dxf>
    <dxf>
      <fill>
        <patternFill>
          <bgColor theme="0"/>
        </patternFill>
      </fill>
    </dxf>
    <dxf>
      <font>
        <b val="0"/>
        <i val="0"/>
        <color theme="0" tint="-0.34998626667073579"/>
      </font>
      <fill>
        <patternFill>
          <bgColor theme="0"/>
        </patternFill>
      </fill>
    </dxf>
    <dxf>
      <fill>
        <patternFill>
          <bgColor theme="0"/>
        </patternFill>
      </fill>
    </dxf>
    <dxf>
      <font>
        <b val="0"/>
        <i val="0"/>
        <color theme="0" tint="-0.34998626667073579"/>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2"/>
      </font>
      <fill>
        <patternFill>
          <bgColor theme="2"/>
        </patternFill>
      </fill>
      <border>
        <left style="thin">
          <color theme="0" tint="-0.34998626667073579"/>
        </left>
        <right style="thin">
          <color theme="0" tint="-0.34998626667073579"/>
        </right>
        <top style="thin">
          <color auto="1"/>
        </top>
        <bottom style="thin">
          <color auto="1"/>
        </bottom>
      </border>
    </dxf>
    <dxf>
      <font>
        <color theme="2"/>
      </font>
      <fill>
        <patternFill>
          <bgColor theme="2"/>
        </patternFill>
      </fill>
      <border>
        <left style="thin">
          <color theme="0" tint="-0.34998626667073579"/>
        </left>
        <right style="thin">
          <color theme="0" tint="-0.34998626667073579"/>
        </right>
        <top style="thin">
          <color auto="1"/>
        </top>
        <bottom style="thin">
          <color auto="1"/>
        </bottom>
      </border>
    </dxf>
    <dxf>
      <font>
        <color theme="2"/>
      </font>
      <fill>
        <patternFill>
          <bgColor theme="2"/>
        </patternFill>
      </fill>
      <border>
        <left style="thin">
          <color theme="0" tint="-0.34998626667073579"/>
        </left>
        <right style="thin">
          <color theme="0" tint="-0.34998626667073579"/>
        </right>
        <top style="thin">
          <color auto="1"/>
        </top>
        <bottom style="thin">
          <color auto="1"/>
        </bottom>
      </border>
    </dxf>
    <dxf>
      <font>
        <color theme="2"/>
      </font>
      <fill>
        <patternFill>
          <bgColor theme="2"/>
        </patternFill>
      </fill>
      <border>
        <left style="thin">
          <color theme="0" tint="-0.34998626667073579"/>
        </left>
        <right style="thin">
          <color theme="0" tint="-0.34998626667073579"/>
        </right>
        <top style="thin">
          <color auto="1"/>
        </top>
        <bottom style="thin">
          <color auto="1"/>
        </bottom>
      </border>
    </dxf>
    <dxf>
      <font>
        <color theme="0" tint="-0.14996795556505021"/>
      </font>
      <fill>
        <patternFill>
          <bgColor theme="0" tint="-0.14996795556505021"/>
        </patternFill>
      </fill>
    </dxf>
    <dxf>
      <font>
        <color theme="0" tint="-0.14996795556505021"/>
      </font>
      <fill>
        <patternFill>
          <bgColor theme="0" tint="-0.14996795556505021"/>
        </patternFill>
      </fill>
    </dxf>
    <dxf>
      <font>
        <color theme="2"/>
      </font>
      <fill>
        <patternFill>
          <bgColor theme="2"/>
        </patternFill>
      </fill>
      <border>
        <left style="thin">
          <color auto="1"/>
        </left>
        <right style="thin">
          <color auto="1"/>
        </right>
        <top style="thin">
          <color auto="1"/>
        </top>
        <bottom style="thin">
          <color auto="1"/>
        </bottom>
      </border>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font>
      <fill>
        <patternFill patternType="none">
          <bgColor auto="1"/>
        </patternFill>
      </fill>
    </dxf>
    <dxf>
      <font>
        <color theme="0"/>
      </font>
      <fill>
        <patternFill patternType="solid">
          <bgColor theme="0"/>
        </patternFill>
      </fill>
    </dxf>
    <dxf>
      <font>
        <b/>
        <i val="0"/>
        <color theme="0"/>
      </font>
      <fill>
        <patternFill>
          <bgColor theme="4" tint="-0.499984740745262"/>
        </patternFill>
      </fill>
    </dxf>
    <dxf>
      <font>
        <color theme="0"/>
      </font>
      <fill>
        <patternFill>
          <bgColor theme="0"/>
        </patternFill>
      </fill>
    </dxf>
    <dxf>
      <font>
        <b val="0"/>
        <i val="0"/>
        <color theme="0"/>
      </font>
      <fill>
        <patternFill>
          <bgColor theme="0"/>
        </patternFill>
      </fill>
      <border>
        <left/>
        <right/>
        <bottom style="thin">
          <color theme="1"/>
        </bottom>
      </border>
    </dxf>
    <dxf>
      <fill>
        <patternFill>
          <bgColor theme="0"/>
        </patternFill>
      </fill>
    </dxf>
    <dxf>
      <font>
        <color theme="0"/>
      </font>
      <fill>
        <patternFill>
          <bgColor theme="0"/>
        </patternFill>
      </fill>
    </dxf>
    <dxf>
      <font>
        <b val="0"/>
        <i val="0"/>
        <color theme="0" tint="-0.24994659260841701"/>
      </font>
      <fill>
        <patternFill patternType="none">
          <bgColor auto="1"/>
        </patternFill>
      </fill>
    </dxf>
    <dxf>
      <font>
        <color theme="2"/>
      </font>
      <fill>
        <patternFill>
          <bgColor theme="2"/>
        </patternFill>
      </fill>
      <border>
        <left style="thin">
          <color auto="1"/>
        </left>
        <right style="thin">
          <color auto="1"/>
        </right>
        <top style="thin">
          <color auto="1"/>
        </top>
        <bottom style="thin">
          <color auto="1"/>
        </bottom>
      </border>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border>
        <left style="thin">
          <color auto="1"/>
        </left>
        <right/>
        <top style="thin">
          <color auto="1"/>
        </top>
        <bottom style="thin">
          <color auto="1"/>
        </bottom>
      </border>
    </dxf>
    <dxf>
      <font>
        <color theme="0"/>
      </font>
      <fill>
        <patternFill patternType="none">
          <bgColor auto="1"/>
        </patternFill>
      </fill>
      <border>
        <left style="thin">
          <color auto="1"/>
        </left>
        <right/>
        <top style="thin">
          <color auto="1"/>
        </top>
        <bottom style="thin">
          <color auto="1"/>
        </bottom>
      </border>
    </dxf>
    <dxf>
      <font>
        <color theme="0"/>
      </font>
      <fill>
        <patternFill patternType="none">
          <bgColor auto="1"/>
        </patternFill>
      </fill>
      <border>
        <left style="thin">
          <color auto="1"/>
        </left>
        <right/>
        <top style="thin">
          <color auto="1"/>
        </top>
        <bottom style="thin">
          <color auto="1"/>
        </bottom>
      </border>
    </dxf>
    <dxf>
      <font>
        <color theme="0"/>
      </font>
      <fill>
        <patternFill patternType="none">
          <bgColor auto="1"/>
        </patternFill>
      </fill>
      <border>
        <left style="thin">
          <color auto="1"/>
        </left>
        <right/>
        <top style="thin">
          <color auto="1"/>
        </top>
        <bottom style="thin">
          <color auto="1"/>
        </bottom>
      </border>
    </dxf>
    <dxf>
      <font>
        <color theme="0"/>
      </font>
      <fill>
        <patternFill patternType="none">
          <bgColor auto="1"/>
        </patternFill>
      </fill>
      <border>
        <left style="thin">
          <color auto="1"/>
        </left>
        <right/>
        <top style="thin">
          <color auto="1"/>
        </top>
        <bottom style="thin">
          <color auto="1"/>
        </bottom>
      </border>
    </dxf>
    <dxf>
      <font>
        <color theme="0"/>
      </font>
      <fill>
        <patternFill patternType="none">
          <bgColor auto="1"/>
        </patternFill>
      </fill>
      <border>
        <left style="thin">
          <color auto="1"/>
        </left>
        <right/>
        <top style="thin">
          <color auto="1"/>
        </top>
        <bottom style="thin">
          <color auto="1"/>
        </bottom>
      </border>
    </dxf>
    <dxf>
      <font>
        <color theme="0"/>
      </font>
      <fill>
        <patternFill patternType="none">
          <bgColor auto="1"/>
        </patternFill>
      </fill>
      <border>
        <left style="thin">
          <color auto="1"/>
        </left>
        <right/>
        <top style="thin">
          <color auto="1"/>
        </top>
        <bottom style="thin">
          <color auto="1"/>
        </bottom>
      </border>
    </dxf>
    <dxf>
      <fill>
        <patternFill>
          <bgColor theme="0"/>
        </patternFill>
      </fill>
      <border>
        <right style="hair">
          <color auto="1"/>
        </right>
      </border>
    </dxf>
    <dxf>
      <font>
        <b val="0"/>
        <i val="0"/>
        <color theme="0" tint="-0.34998626667073579"/>
      </font>
      <fill>
        <patternFill>
          <bgColor theme="0"/>
        </patternFill>
      </fill>
    </dxf>
    <dxf>
      <font>
        <b val="0"/>
        <i val="0"/>
        <color theme="0" tint="-0.34998626667073579"/>
      </font>
      <fill>
        <patternFill>
          <bgColor theme="0"/>
        </patternFill>
      </fill>
    </dxf>
    <dxf>
      <fill>
        <patternFill>
          <bgColor theme="8" tint="0.79998168889431442"/>
        </patternFill>
      </fill>
    </dxf>
    <dxf>
      <font>
        <color theme="0"/>
      </font>
      <fill>
        <patternFill>
          <bgColor theme="0"/>
        </patternFill>
      </fill>
    </dxf>
    <dxf>
      <fill>
        <patternFill>
          <bgColor theme="0"/>
        </patternFill>
      </fill>
    </dxf>
    <dxf>
      <fill>
        <patternFill>
          <bgColor theme="0"/>
        </patternFill>
      </fill>
    </dxf>
    <dxf>
      <fill>
        <patternFill>
          <bgColor rgb="FFFFEFFF"/>
        </patternFill>
      </fill>
    </dxf>
    <dxf>
      <font>
        <color rgb="FF0563C1"/>
      </font>
      <fill>
        <patternFill>
          <bgColor theme="0"/>
        </patternFill>
      </fill>
    </dxf>
    <dxf>
      <font>
        <color theme="0"/>
      </font>
      <fill>
        <patternFill patternType="none">
          <bgColor auto="1"/>
        </patternFill>
      </fill>
      <border>
        <right/>
      </border>
    </dxf>
    <dxf>
      <font>
        <color theme="0"/>
      </font>
      <fill>
        <patternFill>
          <bgColor theme="0"/>
        </patternFill>
      </fill>
      <border>
        <left style="thin">
          <color auto="1"/>
        </left>
        <right style="thin">
          <color auto="1"/>
        </right>
        <top style="thin">
          <color auto="1"/>
        </top>
        <bottom style="thin">
          <color auto="1"/>
        </bottom>
      </border>
    </dxf>
    <dxf>
      <font>
        <color theme="0"/>
      </font>
      <fill>
        <patternFill patternType="none">
          <bgColor auto="1"/>
        </patternFill>
      </fill>
      <border>
        <righ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color theme="0" tint="-0.24994659260841701"/>
      </font>
    </dxf>
    <dxf>
      <font>
        <b val="0"/>
        <i val="0"/>
        <color theme="0" tint="-0.24994659260841701"/>
      </font>
      <fill>
        <patternFill patternType="none">
          <bgColor auto="1"/>
        </patternFill>
      </fill>
      <border>
        <left/>
      </border>
    </dxf>
    <dxf>
      <font>
        <b val="0"/>
        <i val="0"/>
        <color theme="0" tint="-0.34998626667073579"/>
      </font>
      <fill>
        <patternFill>
          <bgColor theme="0"/>
        </patternFill>
      </fill>
    </dxf>
    <dxf>
      <font>
        <b val="0"/>
        <i val="0"/>
        <color theme="2"/>
      </font>
      <fill>
        <patternFill patternType="solid">
          <bgColor theme="2"/>
        </patternFill>
      </fill>
    </dxf>
    <dxf>
      <font>
        <b val="0"/>
        <i val="0"/>
        <color theme="0" tint="-0.24994659260841701"/>
      </font>
      <fill>
        <patternFill patternType="none">
          <bgColor auto="1"/>
        </patternFill>
      </fill>
      <border>
        <left/>
      </border>
    </dxf>
    <dxf>
      <font>
        <color theme="0"/>
      </font>
      <fill>
        <patternFill>
          <bgColor theme="0"/>
        </patternFill>
      </fill>
    </dxf>
    <dxf>
      <font>
        <color theme="0"/>
      </font>
      <fill>
        <patternFill>
          <bgColor theme="0"/>
        </patternFill>
      </fill>
    </dxf>
    <dxf>
      <font>
        <color theme="0"/>
      </font>
      <fill>
        <patternFill>
          <bgColor theme="0"/>
        </patternFill>
      </fill>
    </dxf>
    <dxf>
      <font>
        <b val="0"/>
        <i val="0"/>
        <color theme="0" tint="-0.24994659260841701"/>
      </font>
      <fill>
        <patternFill patternType="none">
          <bgColor auto="1"/>
        </patternFill>
      </fill>
    </dxf>
    <dxf>
      <font>
        <color theme="0"/>
      </font>
      <fill>
        <patternFill>
          <bgColor theme="0"/>
        </patternFill>
      </fill>
    </dxf>
    <dxf>
      <fill>
        <patternFill>
          <bgColor theme="0"/>
        </patternFill>
      </fill>
    </dxf>
    <dxf>
      <fill>
        <patternFill>
          <bgColor rgb="FFFFEFFF"/>
        </patternFill>
      </fill>
    </dxf>
    <dxf>
      <font>
        <color theme="0" tint="-0.24994659260841701"/>
      </font>
    </dxf>
    <dxf>
      <font>
        <color theme="0" tint="-0.24994659260841701"/>
      </font>
    </dxf>
    <dxf>
      <font>
        <b val="0"/>
        <i val="0"/>
        <color theme="0" tint="-0.34998626667073579"/>
      </font>
      <fill>
        <patternFill>
          <bgColor theme="0"/>
        </patternFill>
      </fill>
    </dxf>
    <dxf>
      <font>
        <b val="0"/>
        <i val="0"/>
        <color theme="2"/>
      </font>
      <fill>
        <patternFill patternType="solid">
          <bgColor theme="2"/>
        </patternFill>
      </fill>
    </dxf>
    <dxf>
      <font>
        <color theme="0" tint="-0.24994659260841701"/>
      </font>
    </dxf>
    <dxf>
      <font>
        <color theme="0" tint="-0.24994659260841701"/>
      </font>
    </dxf>
    <dxf>
      <fill>
        <patternFill>
          <bgColor theme="0"/>
        </patternFill>
      </fill>
    </dxf>
    <dxf>
      <font>
        <color theme="0" tint="-0.24994659260841701"/>
      </font>
    </dxf>
    <dxf>
      <font>
        <color theme="0" tint="-0.24994659260841701"/>
      </font>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34998626667073579"/>
      </font>
      <fill>
        <patternFill>
          <bgColor theme="0"/>
        </patternFill>
      </fill>
    </dxf>
    <dxf>
      <fill>
        <patternFill>
          <bgColor rgb="FFFFEFFF"/>
        </patternFill>
      </fill>
    </dxf>
    <dxf>
      <fill>
        <patternFill>
          <bgColor theme="0"/>
        </patternFill>
      </fill>
    </dxf>
    <dxf>
      <font>
        <b val="0"/>
        <i val="0"/>
        <color theme="0" tint="-0.34998626667073579"/>
      </font>
      <fill>
        <patternFill>
          <bgColor theme="0"/>
        </patternFill>
      </fill>
    </dxf>
    <dxf>
      <fill>
        <patternFill>
          <bgColor rgb="FFFFEFFF"/>
        </patternFill>
      </fill>
    </dxf>
    <dxf>
      <font>
        <b val="0"/>
        <i val="0"/>
        <color theme="2"/>
      </font>
      <fill>
        <patternFill patternType="solid">
          <bgColor theme="2"/>
        </patternFill>
      </fill>
    </dxf>
    <dxf>
      <font>
        <b val="0"/>
        <i val="0"/>
        <color theme="0" tint="-0.34998626667073579"/>
      </font>
      <fill>
        <patternFill>
          <bgColor theme="0"/>
        </patternFill>
      </fill>
    </dxf>
    <dxf>
      <font>
        <b val="0"/>
        <i val="0"/>
        <color theme="2"/>
      </font>
      <fill>
        <patternFill patternType="solid">
          <bgColor theme="2"/>
        </patternFill>
      </fill>
    </dxf>
    <dxf>
      <fill>
        <patternFill>
          <bgColor theme="0"/>
        </patternFill>
      </fill>
      <border>
        <left style="thin">
          <color auto="1"/>
        </left>
        <right/>
      </border>
    </dxf>
    <dxf>
      <font>
        <b val="0"/>
        <i val="0"/>
        <color theme="0" tint="-0.34998626667073579"/>
      </font>
      <fill>
        <patternFill>
          <bgColor theme="0"/>
        </patternFill>
      </fill>
    </dxf>
    <dxf>
      <font>
        <b val="0"/>
        <i val="0"/>
        <color theme="0" tint="-0.24994659260841701"/>
      </font>
      <fill>
        <patternFill>
          <bgColor theme="0"/>
        </patternFill>
      </fill>
    </dxf>
    <dxf>
      <fill>
        <patternFill>
          <bgColor theme="0"/>
        </patternFill>
      </fill>
    </dxf>
    <dxf>
      <font>
        <b val="0"/>
        <i val="0"/>
        <color theme="0" tint="-0.34998626667073579"/>
      </font>
      <fill>
        <patternFill>
          <bgColor theme="0"/>
        </patternFill>
      </fill>
    </dxf>
    <dxf>
      <font>
        <b val="0"/>
        <i val="0"/>
        <color theme="0" tint="-0.24994659260841701"/>
      </font>
      <fill>
        <patternFill patternType="none">
          <bgColor auto="1"/>
        </patternFill>
      </fill>
      <border>
        <left/>
      </border>
    </dxf>
    <dxf>
      <font>
        <b val="0"/>
        <i val="0"/>
        <color theme="0" tint="-0.34998626667073579"/>
      </font>
      <fill>
        <patternFill>
          <bgColor theme="0"/>
        </patternFill>
      </fill>
    </dxf>
    <dxf>
      <font>
        <b val="0"/>
        <i val="0"/>
        <color theme="0" tint="-0.24994659260841701"/>
      </font>
      <fill>
        <patternFill patternType="none">
          <bgColor auto="1"/>
        </patternFill>
      </fill>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2"/>
      </font>
      <fill>
        <patternFill patternType="solid">
          <bgColor theme="2"/>
        </patternFill>
      </fill>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ill>
        <patternFill>
          <bgColor rgb="FFFFEFFF"/>
        </patternFill>
      </fill>
    </dxf>
    <dxf>
      <fill>
        <patternFill>
          <bgColor rgb="FFFFEFFF"/>
        </patternFill>
      </fill>
    </dxf>
    <dxf>
      <font>
        <b val="0"/>
        <i val="0"/>
        <color theme="0" tint="-0.24994659260841701"/>
      </font>
      <fill>
        <patternFill patternType="none">
          <bgColor auto="1"/>
        </patternFill>
      </fill>
      <border>
        <left/>
      </border>
    </dxf>
    <dxf>
      <font>
        <b val="0"/>
        <i val="0"/>
        <color theme="0" tint="-0.34998626667073579"/>
      </font>
      <fill>
        <patternFill>
          <bgColor theme="0"/>
        </patternFill>
      </fill>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dxf>
    <dxf>
      <font>
        <b val="0"/>
        <i val="0"/>
        <color theme="2"/>
      </font>
      <fill>
        <patternFill patternType="solid">
          <bgColor theme="2"/>
        </patternFill>
      </fill>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color theme="0"/>
      </font>
      <fill>
        <patternFill patternType="none">
          <bgColor auto="1"/>
        </patternFill>
      </fill>
      <border>
        <left/>
        <right/>
        <top/>
        <bottom/>
      </border>
    </dxf>
    <dxf>
      <font>
        <color theme="0"/>
      </font>
      <fill>
        <patternFill patternType="none">
          <bgColor auto="1"/>
        </patternFill>
      </fill>
      <border>
        <left/>
        <right/>
        <top/>
        <bottom/>
      </border>
    </dxf>
    <dxf>
      <font>
        <color theme="0"/>
      </font>
      <fill>
        <patternFill patternType="none">
          <bgColor auto="1"/>
        </patternFill>
      </fill>
      <border>
        <left/>
        <right/>
        <top/>
        <bottom/>
      </border>
    </dxf>
    <dxf>
      <font>
        <b val="0"/>
        <i val="0"/>
        <color theme="0" tint="-0.24994659260841701"/>
      </font>
      <fill>
        <patternFill patternType="none">
          <bgColor auto="1"/>
        </patternFill>
      </fill>
      <border>
        <left/>
      </border>
    </dxf>
    <dxf>
      <font>
        <color theme="2"/>
      </font>
      <fill>
        <patternFill>
          <bgColor theme="2"/>
        </patternFill>
      </fill>
      <border>
        <left style="thin">
          <color theme="0" tint="-0.34998626667073579"/>
        </left>
        <right style="thin">
          <color theme="0" tint="-0.34998626667073579"/>
        </right>
        <top style="thin">
          <color auto="1"/>
        </top>
        <bottom style="thin">
          <color auto="1"/>
        </bottom>
      </border>
    </dxf>
    <dxf>
      <font>
        <color theme="0" tint="-0.24994659260841701"/>
      </font>
    </dxf>
    <dxf>
      <font>
        <color theme="0" tint="-0.24994659260841701"/>
      </font>
    </dxf>
    <dxf>
      <font>
        <color theme="0" tint="-0.24994659260841701"/>
      </font>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dxf>
    <dxf>
      <font>
        <color theme="0" tint="-0.24994659260841701"/>
      </font>
    </dxf>
    <dxf>
      <font>
        <b val="0"/>
        <i val="0"/>
        <color theme="2"/>
      </font>
      <fill>
        <patternFill patternType="solid">
          <bgColor theme="2"/>
        </patternFill>
      </fill>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4" tint="-0.499984740745262"/>
      </font>
    </dxf>
    <dxf>
      <font>
        <b val="0"/>
        <i val="0"/>
        <color theme="2"/>
      </font>
      <fill>
        <patternFill patternType="solid">
          <bgColor theme="2"/>
        </patternFill>
      </fill>
    </dxf>
    <dxf>
      <font>
        <b val="0"/>
        <i val="0"/>
        <color theme="0" tint="-0.24994659260841701"/>
      </font>
      <fill>
        <patternFill patternType="none">
          <bgColor auto="1"/>
        </patternFill>
      </fill>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b val="0"/>
        <i val="0"/>
        <color theme="0" tint="-0.24994659260841701"/>
      </font>
      <fill>
        <patternFill patternType="none">
          <bgColor auto="1"/>
        </patternFill>
      </fill>
      <border>
        <left/>
      </border>
    </dxf>
    <dxf>
      <font>
        <color theme="0" tint="-0.24994659260841701"/>
      </font>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color theme="0" tint="-0.24994659260841701"/>
      </font>
    </dxf>
    <dxf>
      <font>
        <color theme="0" tint="-0.24994659260841701"/>
      </font>
    </dxf>
    <dxf>
      <font>
        <color theme="0" tint="-0.24994659260841701"/>
      </font>
    </dxf>
    <dxf>
      <font>
        <b val="0"/>
        <i val="0"/>
        <color theme="0" tint="-0.24994659260841701"/>
      </font>
      <fill>
        <patternFill patternType="none">
          <bgColor auto="1"/>
        </patternFill>
      </fill>
      <border>
        <left/>
      </border>
    </dxf>
    <dxf>
      <font>
        <color theme="0" tint="-0.24994659260841701"/>
      </font>
    </dxf>
    <dxf>
      <font>
        <color theme="0" tint="-0.24994659260841701"/>
      </font>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color theme="0" tint="-0.24994659260841701"/>
      </font>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color theme="0" tint="-0.24994659260841701"/>
      </font>
    </dxf>
    <dxf>
      <font>
        <b val="0"/>
        <i val="0"/>
        <color theme="2"/>
      </font>
      <fill>
        <patternFill patternType="solid">
          <bgColor theme="2"/>
        </patternFill>
      </fill>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dxf>
    <dxf>
      <font>
        <b val="0"/>
        <i val="0"/>
        <color theme="0" tint="-0.24994659260841701"/>
      </font>
      <fill>
        <patternFill patternType="none">
          <bgColor auto="1"/>
        </patternFill>
      </fill>
      <border>
        <left/>
      </border>
    </dxf>
    <dxf>
      <font>
        <b val="0"/>
        <i val="0"/>
        <color theme="2"/>
      </font>
      <fill>
        <patternFill patternType="solid">
          <bgColor theme="2"/>
        </patternFill>
      </fill>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4" tint="-0.24994659260841701"/>
      </font>
      <fill>
        <patternFill>
          <bgColor theme="4" tint="-0.24994659260841701"/>
        </patternFill>
      </fill>
    </dxf>
    <dxf>
      <font>
        <color theme="4" tint="-0.24994659260841701"/>
      </font>
      <fill>
        <patternFill>
          <bgColor theme="4" tint="-0.24994659260841701"/>
        </patternFill>
      </fill>
    </dxf>
    <dxf>
      <font>
        <color theme="4" tint="-0.24994659260841701"/>
      </font>
      <fill>
        <patternFill>
          <bgColor theme="4" tint="-0.24994659260841701"/>
        </patternFill>
      </fill>
    </dxf>
    <dxf>
      <font>
        <color theme="4" tint="-0.24994659260841701"/>
      </font>
      <fill>
        <patternFill>
          <bgColor theme="4" tint="-0.24994659260841701"/>
        </patternFill>
      </fill>
    </dxf>
    <dxf>
      <font>
        <color theme="4" tint="-0.24994659260841701"/>
      </font>
      <fill>
        <patternFill>
          <bgColor theme="4" tint="-0.24994659260841701"/>
        </patternFill>
      </fill>
    </dxf>
    <dxf>
      <font>
        <color theme="4" tint="-0.24994659260841701"/>
      </font>
      <fill>
        <patternFill>
          <bgColor theme="4" tint="-0.24994659260841701"/>
        </patternFill>
      </fill>
    </dxf>
    <dxf>
      <font>
        <color theme="4" tint="-0.24994659260841701"/>
      </font>
      <fill>
        <patternFill>
          <bgColor theme="4" tint="-0.24994659260841701"/>
        </patternFill>
      </fill>
    </dxf>
    <dxf>
      <font>
        <color theme="4" tint="-0.24994659260841701"/>
      </font>
      <fill>
        <patternFill>
          <bgColor theme="4" tint="-0.24994659260841701"/>
        </patternFill>
      </fill>
    </dxf>
    <dxf>
      <font>
        <color theme="4" tint="-0.24994659260841701"/>
      </font>
      <fill>
        <patternFill>
          <bgColor theme="4" tint="-0.24994659260841701"/>
        </patternFill>
      </fill>
    </dxf>
    <dxf>
      <font>
        <color theme="4" tint="-0.24994659260841701"/>
      </font>
      <fill>
        <patternFill>
          <bgColor theme="4" tint="-0.24994659260841701"/>
        </patternFill>
      </fill>
    </dxf>
    <dxf>
      <font>
        <color theme="4" tint="-0.24994659260841701"/>
      </font>
      <fill>
        <patternFill>
          <bgColor theme="4" tint="-0.24994659260841701"/>
        </patternFill>
      </fill>
    </dxf>
    <dxf>
      <font>
        <color theme="4" tint="-0.24994659260841701"/>
      </font>
      <fill>
        <patternFill>
          <bgColor theme="4" tint="-0.24994659260841701"/>
        </patternFill>
      </fill>
    </dxf>
    <dxf>
      <font>
        <color theme="4" tint="-0.24994659260841701"/>
      </font>
      <fill>
        <patternFill>
          <bgColor theme="4" tint="-0.24994659260841701"/>
        </patternFill>
      </fill>
    </dxf>
    <dxf>
      <font>
        <color theme="4" tint="-0.499984740745262"/>
      </font>
      <fill>
        <patternFill>
          <bgColor theme="4" tint="-0.499984740745262"/>
        </patternFill>
      </fill>
    </dxf>
    <dxf>
      <font>
        <color theme="4" tint="-0.24994659260841701"/>
      </font>
      <fill>
        <patternFill>
          <bgColor theme="4" tint="-0.24994659260841701"/>
        </patternFill>
      </fill>
    </dxf>
    <dxf>
      <font>
        <color theme="4" tint="-0.24994659260841701"/>
      </font>
      <fill>
        <patternFill>
          <bgColor theme="4" tint="-0.24994659260841701"/>
        </patternFill>
      </fill>
    </dxf>
    <dxf>
      <font>
        <color theme="4" tint="-0.24994659260841701"/>
      </font>
      <fill>
        <patternFill>
          <bgColor theme="4" tint="-0.24994659260841701"/>
        </patternFill>
      </fill>
    </dxf>
    <dxf>
      <font>
        <color theme="4" tint="-0.24994659260841701"/>
      </font>
      <fill>
        <patternFill>
          <bgColor theme="4" tint="-0.24994659260841701"/>
        </patternFill>
      </fill>
    </dxf>
    <dxf>
      <font>
        <color rgb="FF305598"/>
      </font>
    </dxf>
    <dxf>
      <font>
        <b val="0"/>
        <i val="0"/>
        <color theme="0" tint="-0.24994659260841701"/>
      </font>
      <fill>
        <patternFill patternType="none">
          <bgColor auto="1"/>
        </patternFill>
      </fill>
      <border>
        <left/>
      </border>
    </dxf>
    <dxf>
      <font>
        <b val="0"/>
        <i val="0"/>
        <color theme="0"/>
      </font>
      <fill>
        <patternFill patternType="solid">
          <bgColor theme="4" tint="-0.24994659260841701"/>
        </patternFill>
      </fill>
      <border>
        <left style="thin">
          <color auto="1"/>
        </left>
        <right style="thin">
          <color auto="1"/>
        </right>
        <top style="hair">
          <color auto="1"/>
        </top>
        <bottom style="hair">
          <color auto="1"/>
        </bottom>
      </border>
    </dxf>
    <dxf>
      <font>
        <b val="0"/>
        <i val="0"/>
        <color theme="0"/>
      </font>
      <fill>
        <patternFill patternType="solid">
          <bgColor theme="4" tint="-0.24994659260841701"/>
        </patternFill>
      </fill>
      <border>
        <left style="thin">
          <color auto="1"/>
        </left>
        <right style="thin">
          <color auto="1"/>
        </right>
        <top style="hair">
          <color auto="1"/>
        </top>
        <bottom style="hair">
          <color auto="1"/>
        </bottom>
      </border>
    </dxf>
    <dxf>
      <font>
        <b val="0"/>
        <i val="0"/>
        <color theme="0"/>
      </font>
      <fill>
        <patternFill patternType="solid">
          <bgColor theme="4" tint="-0.24994659260841701"/>
        </patternFill>
      </fill>
      <border>
        <left style="thin">
          <color auto="1"/>
        </left>
        <right style="thin">
          <color auto="1"/>
        </right>
        <top style="hair">
          <color auto="1"/>
        </top>
        <bottom style="hair">
          <color auto="1"/>
        </bottom>
      </border>
    </dxf>
    <dxf>
      <font>
        <b val="0"/>
        <i val="0"/>
        <color theme="0"/>
      </font>
      <fill>
        <patternFill patternType="solid">
          <bgColor theme="4" tint="-0.24994659260841701"/>
        </patternFill>
      </fill>
      <border>
        <left style="thin">
          <color auto="1"/>
        </left>
        <right style="thin">
          <color auto="1"/>
        </right>
        <top style="hair">
          <color auto="1"/>
        </top>
        <bottom style="hair">
          <color auto="1"/>
        </bottom>
      </border>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dxf>
    <dxf>
      <font>
        <b val="0"/>
        <i val="0"/>
        <color theme="0" tint="-0.24994659260841701"/>
      </font>
      <fill>
        <patternFill patternType="none">
          <bgColor auto="1"/>
        </patternFill>
      </fill>
      <border>
        <left/>
      </border>
    </dxf>
    <dxf>
      <font>
        <b val="0"/>
        <i val="0"/>
        <color theme="0" tint="-0.24994659260841701"/>
      </font>
      <fill>
        <patternFill patternType="none">
          <bgColor auto="1"/>
        </patternFill>
      </fill>
      <border>
        <left/>
      </border>
    </dxf>
    <dxf>
      <font>
        <b val="0"/>
        <i val="0"/>
        <color theme="2"/>
      </font>
      <fill>
        <patternFill patternType="solid">
          <bgColor theme="2"/>
        </patternFill>
      </fill>
    </dxf>
    <dxf>
      <fill>
        <patternFill patternType="none">
          <bgColor auto="1"/>
        </patternFill>
      </fill>
    </dxf>
    <dxf>
      <fill>
        <patternFill patternType="none">
          <bgColor auto="1"/>
        </patternFill>
      </fill>
    </dxf>
  </dxfs>
  <tableStyles count="0" defaultTableStyle="TableStyleMedium2" defaultPivotStyle="PivotStyleLight16"/>
  <colors>
    <mruColors>
      <color rgb="FFFF3399"/>
      <color rgb="FFE3E9F5"/>
      <color rgb="FF238EAF"/>
      <color rgb="FFEBFAFF"/>
      <color rgb="FFD5F4FF"/>
      <color rgb="FFCCFFFF"/>
      <color rgb="FFE9FDFD"/>
      <color rgb="FF109C99"/>
      <color rgb="FF00B050"/>
      <color rgb="FFE8E8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22/11/relationships/FeaturePropertyBag" Target="featurePropertyBag/featurePropertyBag.xml"/><Relationship Id="rId10" Type="http://schemas.openxmlformats.org/officeDocument/2006/relationships/theme" Target="theme/theme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Radio" firstButton="1" fmlaLink="D6"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checked="Checked"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Radio" lockText="1" noThreeD="1"/>
</file>

<file path=xl/ctrlProps/ctrlProp11.xml><?xml version="1.0" encoding="utf-8"?>
<formControlPr xmlns="http://schemas.microsoft.com/office/spreadsheetml/2009/9/main" objectType="Radio" lockText="1" noThreeD="1"/>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Program Config'!A1"/></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5</xdr:row>
          <xdr:rowOff>0</xdr:rowOff>
        </xdr:from>
        <xdr:to>
          <xdr:col>4</xdr:col>
          <xdr:colOff>0</xdr:colOff>
          <xdr:row>15</xdr:row>
          <xdr:rowOff>0</xdr:rowOff>
        </xdr:to>
        <xdr:sp macro="" textlink="">
          <xdr:nvSpPr>
            <xdr:cNvPr id="5158" name="Group Box 38" hidden="1">
              <a:extLst>
                <a:ext uri="{63B3BB69-23CF-44E3-9099-C40C66FF867C}">
                  <a14:compatExt spid="_x0000_s5158"/>
                </a:ext>
                <a:ext uri="{FF2B5EF4-FFF2-40B4-BE49-F238E27FC236}">
                  <a16:creationId xmlns:a16="http://schemas.microsoft.com/office/drawing/2014/main" id="{00000000-0008-0000-0000-0000261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5</xdr:row>
          <xdr:rowOff>57150</xdr:rowOff>
        </xdr:from>
        <xdr:to>
          <xdr:col>3</xdr:col>
          <xdr:colOff>361950</xdr:colOff>
          <xdr:row>5</xdr:row>
          <xdr:rowOff>259080</xdr:rowOff>
        </xdr:to>
        <xdr:sp macro="" textlink="">
          <xdr:nvSpPr>
            <xdr:cNvPr id="5159" name="Option Button 39" hidden="1">
              <a:extLst>
                <a:ext uri="{63B3BB69-23CF-44E3-9099-C40C66FF867C}">
                  <a14:compatExt spid="_x0000_s5159"/>
                </a:ext>
                <a:ext uri="{FF2B5EF4-FFF2-40B4-BE49-F238E27FC236}">
                  <a16:creationId xmlns:a16="http://schemas.microsoft.com/office/drawing/2014/main" id="{00000000-0008-0000-0000-00002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6</xdr:row>
          <xdr:rowOff>57150</xdr:rowOff>
        </xdr:from>
        <xdr:to>
          <xdr:col>3</xdr:col>
          <xdr:colOff>361950</xdr:colOff>
          <xdr:row>6</xdr:row>
          <xdr:rowOff>259080</xdr:rowOff>
        </xdr:to>
        <xdr:sp macro="" textlink="">
          <xdr:nvSpPr>
            <xdr:cNvPr id="5160" name="Option Button 40" hidden="1">
              <a:extLst>
                <a:ext uri="{63B3BB69-23CF-44E3-9099-C40C66FF867C}">
                  <a14:compatExt spid="_x0000_s5160"/>
                </a:ext>
                <a:ext uri="{FF2B5EF4-FFF2-40B4-BE49-F238E27FC236}">
                  <a16:creationId xmlns:a16="http://schemas.microsoft.com/office/drawing/2014/main" id="{00000000-0008-0000-0000-00002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7</xdr:row>
          <xdr:rowOff>57150</xdr:rowOff>
        </xdr:from>
        <xdr:to>
          <xdr:col>3</xdr:col>
          <xdr:colOff>361950</xdr:colOff>
          <xdr:row>7</xdr:row>
          <xdr:rowOff>259080</xdr:rowOff>
        </xdr:to>
        <xdr:sp macro="" textlink="">
          <xdr:nvSpPr>
            <xdr:cNvPr id="5161" name="Option Button 41" hidden="1">
              <a:extLst>
                <a:ext uri="{63B3BB69-23CF-44E3-9099-C40C66FF867C}">
                  <a14:compatExt spid="_x0000_s5161"/>
                </a:ext>
                <a:ext uri="{FF2B5EF4-FFF2-40B4-BE49-F238E27FC236}">
                  <a16:creationId xmlns:a16="http://schemas.microsoft.com/office/drawing/2014/main" id="{00000000-0008-0000-0000-00002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8</xdr:row>
          <xdr:rowOff>57150</xdr:rowOff>
        </xdr:from>
        <xdr:to>
          <xdr:col>3</xdr:col>
          <xdr:colOff>361950</xdr:colOff>
          <xdr:row>8</xdr:row>
          <xdr:rowOff>259080</xdr:rowOff>
        </xdr:to>
        <xdr:sp macro="" textlink="">
          <xdr:nvSpPr>
            <xdr:cNvPr id="5162" name="Option Button 42" hidden="1">
              <a:extLst>
                <a:ext uri="{63B3BB69-23CF-44E3-9099-C40C66FF867C}">
                  <a14:compatExt spid="_x0000_s5162"/>
                </a:ext>
                <a:ext uri="{FF2B5EF4-FFF2-40B4-BE49-F238E27FC236}">
                  <a16:creationId xmlns:a16="http://schemas.microsoft.com/office/drawing/2014/main" id="{00000000-0008-0000-0000-00002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9</xdr:row>
          <xdr:rowOff>57150</xdr:rowOff>
        </xdr:from>
        <xdr:to>
          <xdr:col>3</xdr:col>
          <xdr:colOff>361950</xdr:colOff>
          <xdr:row>9</xdr:row>
          <xdr:rowOff>259080</xdr:rowOff>
        </xdr:to>
        <xdr:sp macro="" textlink="">
          <xdr:nvSpPr>
            <xdr:cNvPr id="5163" name="Option Button 43" hidden="1">
              <a:extLst>
                <a:ext uri="{63B3BB69-23CF-44E3-9099-C40C66FF867C}">
                  <a14:compatExt spid="_x0000_s5163"/>
                </a:ext>
                <a:ext uri="{FF2B5EF4-FFF2-40B4-BE49-F238E27FC236}">
                  <a16:creationId xmlns:a16="http://schemas.microsoft.com/office/drawing/2014/main" id="{00000000-0008-0000-0000-00002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10</xdr:row>
          <xdr:rowOff>68580</xdr:rowOff>
        </xdr:from>
        <xdr:to>
          <xdr:col>3</xdr:col>
          <xdr:colOff>361950</xdr:colOff>
          <xdr:row>10</xdr:row>
          <xdr:rowOff>266700</xdr:rowOff>
        </xdr:to>
        <xdr:sp macro="" textlink="">
          <xdr:nvSpPr>
            <xdr:cNvPr id="5164" name="Option Button 44" hidden="1">
              <a:extLst>
                <a:ext uri="{63B3BB69-23CF-44E3-9099-C40C66FF867C}">
                  <a14:compatExt spid="_x0000_s5164"/>
                </a:ext>
                <a:ext uri="{FF2B5EF4-FFF2-40B4-BE49-F238E27FC236}">
                  <a16:creationId xmlns:a16="http://schemas.microsoft.com/office/drawing/2014/main" id="{00000000-0008-0000-0000-00002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11</xdr:row>
          <xdr:rowOff>68580</xdr:rowOff>
        </xdr:from>
        <xdr:to>
          <xdr:col>3</xdr:col>
          <xdr:colOff>361950</xdr:colOff>
          <xdr:row>11</xdr:row>
          <xdr:rowOff>266700</xdr:rowOff>
        </xdr:to>
        <xdr:sp macro="" textlink="">
          <xdr:nvSpPr>
            <xdr:cNvPr id="5165" name="Option Button 45" hidden="1">
              <a:extLst>
                <a:ext uri="{63B3BB69-23CF-44E3-9099-C40C66FF867C}">
                  <a14:compatExt spid="_x0000_s5165"/>
                </a:ext>
                <a:ext uri="{FF2B5EF4-FFF2-40B4-BE49-F238E27FC236}">
                  <a16:creationId xmlns:a16="http://schemas.microsoft.com/office/drawing/2014/main" id="{00000000-0008-0000-0000-00002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12</xdr:row>
          <xdr:rowOff>68580</xdr:rowOff>
        </xdr:from>
        <xdr:to>
          <xdr:col>3</xdr:col>
          <xdr:colOff>361950</xdr:colOff>
          <xdr:row>12</xdr:row>
          <xdr:rowOff>266700</xdr:rowOff>
        </xdr:to>
        <xdr:sp macro="" textlink="">
          <xdr:nvSpPr>
            <xdr:cNvPr id="5166" name="Option Button 46" hidden="1">
              <a:extLst>
                <a:ext uri="{63B3BB69-23CF-44E3-9099-C40C66FF867C}">
                  <a14:compatExt spid="_x0000_s5166"/>
                </a:ext>
                <a:ext uri="{FF2B5EF4-FFF2-40B4-BE49-F238E27FC236}">
                  <a16:creationId xmlns:a16="http://schemas.microsoft.com/office/drawing/2014/main" id="{00000000-0008-0000-0000-00002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13</xdr:row>
          <xdr:rowOff>68580</xdr:rowOff>
        </xdr:from>
        <xdr:to>
          <xdr:col>3</xdr:col>
          <xdr:colOff>361950</xdr:colOff>
          <xdr:row>13</xdr:row>
          <xdr:rowOff>266700</xdr:rowOff>
        </xdr:to>
        <xdr:sp macro="" textlink="">
          <xdr:nvSpPr>
            <xdr:cNvPr id="5167" name="Option Button 47" hidden="1">
              <a:extLst>
                <a:ext uri="{63B3BB69-23CF-44E3-9099-C40C66FF867C}">
                  <a14:compatExt spid="_x0000_s5167"/>
                </a:ext>
                <a:ext uri="{FF2B5EF4-FFF2-40B4-BE49-F238E27FC236}">
                  <a16:creationId xmlns:a16="http://schemas.microsoft.com/office/drawing/2014/main" id="{00000000-0008-0000-0000-00002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14</xdr:row>
          <xdr:rowOff>68580</xdr:rowOff>
        </xdr:from>
        <xdr:to>
          <xdr:col>3</xdr:col>
          <xdr:colOff>361950</xdr:colOff>
          <xdr:row>14</xdr:row>
          <xdr:rowOff>266700</xdr:rowOff>
        </xdr:to>
        <xdr:sp macro="" textlink="">
          <xdr:nvSpPr>
            <xdr:cNvPr id="5168" name="Option Button 48" hidden="1">
              <a:extLst>
                <a:ext uri="{63B3BB69-23CF-44E3-9099-C40C66FF867C}">
                  <a14:compatExt spid="_x0000_s5168"/>
                </a:ext>
                <a:ext uri="{FF2B5EF4-FFF2-40B4-BE49-F238E27FC236}">
                  <a16:creationId xmlns:a16="http://schemas.microsoft.com/office/drawing/2014/main" id="{00000000-0008-0000-0000-00003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28575</xdr:colOff>
      <xdr:row>2022</xdr:row>
      <xdr:rowOff>238125</xdr:rowOff>
    </xdr:from>
    <xdr:to>
      <xdr:col>9</xdr:col>
      <xdr:colOff>284061</xdr:colOff>
      <xdr:row>2057</xdr:row>
      <xdr:rowOff>163216</xdr:rowOff>
    </xdr:to>
    <xdr:pic>
      <xdr:nvPicPr>
        <xdr:cNvPr id="2" name="Picture 1" descr="A map of the united states&#10;&#10;Description automatically generated">
          <a:hlinkClick xmlns:r="http://schemas.openxmlformats.org/officeDocument/2006/relationships" r:id="rId1"/>
          <a:extLst>
            <a:ext uri="{FF2B5EF4-FFF2-40B4-BE49-F238E27FC236}">
              <a16:creationId xmlns:a16="http://schemas.microsoft.com/office/drawing/2014/main" id="{A1BC3055-6EBB-D0EF-2AFD-853CD713E87A}"/>
            </a:ext>
          </a:extLst>
        </xdr:cNvPr>
        <xdr:cNvPicPr>
          <a:picLocks noChangeAspect="1"/>
        </xdr:cNvPicPr>
      </xdr:nvPicPr>
      <xdr:blipFill>
        <a:blip xmlns:r="http://schemas.openxmlformats.org/officeDocument/2006/relationships" r:embed="rId2"/>
        <a:stretch>
          <a:fillRect/>
        </a:stretch>
      </xdr:blipFill>
      <xdr:spPr>
        <a:xfrm>
          <a:off x="2124075" y="539029275"/>
          <a:ext cx="12717650" cy="925959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Jo Ann Balsamo" id="{0B026AAC-261A-45A4-871B-E3BEA5D32E61}" userId="S::Joann.Balsamo@tutor.com::78e53e06-8c2b-4ca3-b9b1-d32dab5a964c" providerId="AD"/>
</personList>
</file>

<file path=xl/theme/theme1.xml><?xml version="1.0" encoding="utf-8"?>
<a:theme xmlns:a="http://schemas.openxmlformats.org/drawingml/2006/main" name="Office Theme">
  <a:themeElements>
    <a:clrScheme name="Custom 5">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3" dT="2023-06-12T18:53:54.87" personId="{0B026AAC-261A-45A4-871B-E3BEA5D32E61}" id="{0B1AC4B6-7D02-43BD-8B44-0FF754AE9D49}">
    <text xml:space="preserve">Zipe Code / Area Code Look Up
Time Zones in the US
</text>
    <extLst>
      <x:ext xmlns:xltc2="http://schemas.microsoft.com/office/spreadsheetml/2020/threadedcomments2" uri="{F7C98A9C-CBB3-438F-8F68-D28B6AF4A901}">
        <xltc2:checksum>1388856588</xltc2:checksum>
        <xltc2:hyperlink startIndex="0" length="29" url="https://compass.greatdata.com/areacode/timemap"/>
        <xltc2:hyperlink startIndex="31" length="20" url="https://www.timeanddate.com/time/zone/usa"/>
      </x:ext>
    </extLs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mailto:cindy.hewitt@tutor.com" TargetMode="External"/><Relationship Id="rId18" Type="http://schemas.openxmlformats.org/officeDocument/2006/relationships/hyperlink" Target="mailto:ashlenn.wellbrock@tutor.com" TargetMode="External"/><Relationship Id="rId26" Type="http://schemas.openxmlformats.org/officeDocument/2006/relationships/ctrlProp" Target="../ctrlProps/ctrlProp4.xml"/><Relationship Id="rId3" Type="http://schemas.openxmlformats.org/officeDocument/2006/relationships/hyperlink" Target="mailto:joann.balsamo@tutor.com" TargetMode="External"/><Relationship Id="rId21" Type="http://schemas.openxmlformats.org/officeDocument/2006/relationships/drawing" Target="../drawings/drawing1.xml"/><Relationship Id="rId7" Type="http://schemas.openxmlformats.org/officeDocument/2006/relationships/hyperlink" Target="mailto:jennifer.morriss@tutor.com" TargetMode="External"/><Relationship Id="rId12" Type="http://schemas.openxmlformats.org/officeDocument/2006/relationships/hyperlink" Target="mailto:jim.barnes@tutor.com" TargetMode="External"/><Relationship Id="rId17" Type="http://schemas.openxmlformats.org/officeDocument/2006/relationships/hyperlink" Target="mailto:anna.richmond@tutor.com" TargetMode="External"/><Relationship Id="rId25" Type="http://schemas.openxmlformats.org/officeDocument/2006/relationships/ctrlProp" Target="../ctrlProps/ctrlProp3.xml"/><Relationship Id="rId33" Type="http://schemas.openxmlformats.org/officeDocument/2006/relationships/ctrlProp" Target="../ctrlProps/ctrlProp11.xml"/><Relationship Id="rId2" Type="http://schemas.openxmlformats.org/officeDocument/2006/relationships/hyperlink" Target="mailto:jeffrey.lopez@tutor.com" TargetMode="External"/><Relationship Id="rId16" Type="http://schemas.openxmlformats.org/officeDocument/2006/relationships/hyperlink" Target="mailto:dana.moore@tutor.com" TargetMode="External"/><Relationship Id="rId20" Type="http://schemas.openxmlformats.org/officeDocument/2006/relationships/printerSettings" Target="../printerSettings/printerSettings1.bin"/><Relationship Id="rId29" Type="http://schemas.openxmlformats.org/officeDocument/2006/relationships/ctrlProp" Target="../ctrlProps/ctrlProp7.xml"/><Relationship Id="rId1" Type="http://schemas.openxmlformats.org/officeDocument/2006/relationships/hyperlink" Target="mailto:lynn.desjarlais@tutor.com" TargetMode="External"/><Relationship Id="rId6" Type="http://schemas.openxmlformats.org/officeDocument/2006/relationships/hyperlink" Target="mailto:kelsey.lantz@review.com" TargetMode="External"/><Relationship Id="rId11" Type="http://schemas.openxmlformats.org/officeDocument/2006/relationships/hyperlink" Target="mailto:scott.spencer@review.com" TargetMode="External"/><Relationship Id="rId24" Type="http://schemas.openxmlformats.org/officeDocument/2006/relationships/ctrlProp" Target="../ctrlProps/ctrlProp2.xml"/><Relationship Id="rId32" Type="http://schemas.openxmlformats.org/officeDocument/2006/relationships/ctrlProp" Target="../ctrlProps/ctrlProp10.xml"/><Relationship Id="rId5" Type="http://schemas.openxmlformats.org/officeDocument/2006/relationships/hyperlink" Target="mailto:tawana.collins@tutor.com" TargetMode="External"/><Relationship Id="rId15" Type="http://schemas.openxmlformats.org/officeDocument/2006/relationships/hyperlink" Target="mailto:keisha.hellon@review.com" TargetMode="External"/><Relationship Id="rId23" Type="http://schemas.openxmlformats.org/officeDocument/2006/relationships/ctrlProp" Target="../ctrlProps/ctrlProp1.xml"/><Relationship Id="rId28" Type="http://schemas.openxmlformats.org/officeDocument/2006/relationships/ctrlProp" Target="../ctrlProps/ctrlProp6.xml"/><Relationship Id="rId10" Type="http://schemas.openxmlformats.org/officeDocument/2006/relationships/hyperlink" Target="mailto:shenille.melton@tutor.com" TargetMode="External"/><Relationship Id="rId19" Type="http://schemas.openxmlformats.org/officeDocument/2006/relationships/hyperlink" Target="mailto:brady.boswell@tutor.com" TargetMode="External"/><Relationship Id="rId31" Type="http://schemas.openxmlformats.org/officeDocument/2006/relationships/ctrlProp" Target="../ctrlProps/ctrlProp9.xml"/><Relationship Id="rId4" Type="http://schemas.openxmlformats.org/officeDocument/2006/relationships/hyperlink" Target="mailto:steven.ramos@review.com" TargetMode="External"/><Relationship Id="rId9" Type="http://schemas.openxmlformats.org/officeDocument/2006/relationships/hyperlink" Target="mailto:karen.murphree@tutor.com" TargetMode="External"/><Relationship Id="rId14" Type="http://schemas.openxmlformats.org/officeDocument/2006/relationships/hyperlink" Target="mailto:michael.leaser@tutor.com" TargetMode="External"/><Relationship Id="rId22" Type="http://schemas.openxmlformats.org/officeDocument/2006/relationships/vmlDrawing" Target="../drawings/vmlDrawing1.vml"/><Relationship Id="rId27" Type="http://schemas.openxmlformats.org/officeDocument/2006/relationships/ctrlProp" Target="../ctrlProps/ctrlProp5.xml"/><Relationship Id="rId30" Type="http://schemas.openxmlformats.org/officeDocument/2006/relationships/ctrlProp" Target="../ctrlProps/ctrlProp8.xml"/><Relationship Id="rId8" Type="http://schemas.openxmlformats.org/officeDocument/2006/relationships/hyperlink" Target="mailto:marcy.melanson@tutor.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linkedin.com/in/jo-ann-balsamo" TargetMode="External"/><Relationship Id="rId13" Type="http://schemas.openxmlformats.org/officeDocument/2006/relationships/vmlDrawing" Target="../drawings/vmlDrawing2.vml"/><Relationship Id="rId3" Type="http://schemas.openxmlformats.org/officeDocument/2006/relationships/hyperlink" Target="https://www.linkedin.com/in/jo-ann-balsamo" TargetMode="External"/><Relationship Id="rId7" Type="http://schemas.openxmlformats.org/officeDocument/2006/relationships/hyperlink" Target="https://princetonreview.sharepoint.com/:x:/s/CustomerSuccessTeam/Eekz8T5SCX5Phmgc3G7sOj0BO75BwKjUFNlANqOqzpFcDA?e=mtKdhh" TargetMode="External"/><Relationship Id="rId12" Type="http://schemas.openxmlformats.org/officeDocument/2006/relationships/drawing" Target="../drawings/drawing2.xml"/><Relationship Id="rId2" Type="http://schemas.openxmlformats.org/officeDocument/2006/relationships/hyperlink" Target="../../../../../../:u:/s/CustomerSuccessTeam/Eeucw19osthAnoavJQ17SG0Bu5Cu2uF8WnIAJoifvvD4dQ?e=meHb20" TargetMode="External"/><Relationship Id="rId1" Type="http://schemas.openxmlformats.org/officeDocument/2006/relationships/hyperlink" Target="http://cst.tutor.com/Login?ReturnUrl=%2FHome" TargetMode="External"/><Relationship Id="rId6" Type="http://schemas.openxmlformats.org/officeDocument/2006/relationships/hyperlink" Target="https://www.linkedin.com/in/jo-ann-balsamo" TargetMode="External"/><Relationship Id="rId11" Type="http://schemas.openxmlformats.org/officeDocument/2006/relationships/printerSettings" Target="../printerSettings/printerSettings2.bin"/><Relationship Id="rId5" Type="http://schemas.openxmlformats.org/officeDocument/2006/relationships/hyperlink" Target="https://www.time-zones-map.com/" TargetMode="External"/><Relationship Id="rId15" Type="http://schemas.microsoft.com/office/2017/10/relationships/threadedComment" Target="../threadedComments/threadedComment1.xml"/><Relationship Id="rId10" Type="http://schemas.openxmlformats.org/officeDocument/2006/relationships/hyperlink" Target="https://www.linkedin.com/in/jo-ann-balsamo" TargetMode="External"/><Relationship Id="rId4" Type="http://schemas.openxmlformats.org/officeDocument/2006/relationships/hyperlink" Target="https://www.time-zones-map.com/" TargetMode="External"/><Relationship Id="rId9" Type="http://schemas.openxmlformats.org/officeDocument/2006/relationships/hyperlink" Target="https://www.linkedin.com/in/jo-ann-balsamo" TargetMode="External"/><Relationship Id="rId1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linkedin.com/in/jo-ann-balsamo" TargetMode="External"/><Relationship Id="rId2" Type="http://schemas.openxmlformats.org/officeDocument/2006/relationships/hyperlink" Target="https://www.linkedin.com/in/jo-ann-balsamo" TargetMode="External"/><Relationship Id="rId1" Type="http://schemas.openxmlformats.org/officeDocument/2006/relationships/hyperlink" Target="file:///C:\Windows\notepad.exe" TargetMode="External"/><Relationship Id="rId6" Type="http://schemas.openxmlformats.org/officeDocument/2006/relationships/printerSettings" Target="../printerSettings/printerSettings4.bin"/><Relationship Id="rId5" Type="http://schemas.openxmlformats.org/officeDocument/2006/relationships/hyperlink" Target="https://www.linkedin.com/in/jo-ann-balsamo" TargetMode="External"/><Relationship Id="rId4" Type="http://schemas.openxmlformats.org/officeDocument/2006/relationships/hyperlink" Target="file:///C:\Windows\notepad.exe"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fl:/g/personal/joann_balsamo_tutor_com/EXq38zuVjQFBrlBE2izgv1UBa2j0FPk7eauaLOGZBrTDJA?e=7MQgKi&amp;nav=cz0lMkZwZXJzb25hbCUyRmpvYW5uX2JhbHNhbW9fdHV0b3JfY29tJmQ9YiE3ZUg0S3dUN3IwcXV0d3NVZHBEaFUyTWkyM0U5WVI1SmhfUVpXYVJRbjk2dzJBMlNUS2otVEpxdG9UcTBCRjlsJmY9MDFZNDRDS01UMlc3WlRYRk1OQUZBMjRVQ0UzSVdPQlAyViZjPSUyRiZmbHVpZD0xJmE9T2ZmaWNlLmNvbQ%3D%3D"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vertex42.com/ExcelTips/unicode-symbols.html"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support.agilix.com/hc/en-us/articles/208073246-how-do-i-create-activities-with-learning-tools-interoperability-lti-1-1-and-1-3" TargetMode="External"/><Relationship Id="rId2" Type="http://schemas.openxmlformats.org/officeDocument/2006/relationships/hyperlink" Target="https://community.canvaslms.com/t5/Admin-Guide/How-do-I-configure-an-external-app-for-an-account-using-XML/ta-p/221" TargetMode="External"/><Relationship Id="rId1" Type="http://schemas.openxmlformats.org/officeDocument/2006/relationships/hyperlink" Target="https://community.canvaslms.com/t5/Admin-Guide/How-do-I-configure-an-external-app-for-an-account-using-XML/ta-p/221" TargetMode="External"/><Relationship Id="rId4"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94A31-1E85-4A47-90EB-DAD75F8280EE}">
  <sheetPr codeName="Sheet1">
    <pageSetUpPr fitToPage="1"/>
  </sheetPr>
  <dimension ref="A1:V69"/>
  <sheetViews>
    <sheetView zoomScale="80" zoomScaleNormal="80" workbookViewId="0">
      <selection activeCell="I18" sqref="I18"/>
    </sheetView>
  </sheetViews>
  <sheetFormatPr defaultRowHeight="14.4" x14ac:dyDescent="0.55000000000000004"/>
  <cols>
    <col min="1" max="1" width="55.83984375" customWidth="1"/>
    <col min="2" max="2" width="24.578125" customWidth="1"/>
    <col min="3" max="3" width="14.26171875" style="382" customWidth="1"/>
    <col min="4" max="4" width="6.26171875" style="382" customWidth="1"/>
    <col min="5" max="5" width="7.41796875" style="412" hidden="1" customWidth="1"/>
    <col min="6" max="6" width="8.83984375" style="411" hidden="1" customWidth="1"/>
    <col min="7" max="7" width="0.68359375" style="411" hidden="1" customWidth="1"/>
    <col min="8" max="8" width="8.68359375" customWidth="1"/>
    <col min="9" max="9" width="16.26171875" style="197" customWidth="1"/>
    <col min="10" max="12" width="6.68359375" style="411" hidden="1" customWidth="1"/>
    <col min="13" max="13" width="6.26171875" customWidth="1"/>
    <col min="14" max="14" width="8.83984375" style="380" hidden="1" customWidth="1"/>
    <col min="15" max="15" width="24.68359375" style="380" hidden="1" customWidth="1"/>
    <col min="16" max="16" width="32.578125" style="380" hidden="1" customWidth="1"/>
    <col min="17" max="17" width="8.83984375" style="380" hidden="1" customWidth="1"/>
    <col min="18" max="22" width="10.578125" customWidth="1"/>
    <col min="23" max="24" width="9.15625" customWidth="1"/>
  </cols>
  <sheetData>
    <row r="1" spans="1:22" s="7" customFormat="1" ht="25" customHeight="1" x14ac:dyDescent="0.55000000000000004">
      <c r="A1" s="383" t="s">
        <v>1</v>
      </c>
      <c r="B1" s="619" t="s">
        <v>553</v>
      </c>
      <c r="C1" s="619"/>
      <c r="D1" s="619"/>
      <c r="E1" s="609" t="str">
        <f>IFERROR(IF(AND($B1&lt;&gt;"",VLOOKUP($B1,$O:$P,2,FALSE)&lt;&gt;""),VLOOKUP($B1,$O:$P,2,FALSE),$B1),IF($B1&lt;&gt;"",$B1,""))</f>
        <v>victoria.lane@FakeDemoData.com</v>
      </c>
      <c r="F1" s="610"/>
      <c r="G1" s="610"/>
      <c r="H1" s="384"/>
      <c r="I1" s="18"/>
      <c r="J1" s="413"/>
      <c r="K1" s="419"/>
      <c r="L1" s="419"/>
      <c r="N1" s="385" t="s">
        <v>2</v>
      </c>
      <c r="O1" s="385" t="s">
        <v>3</v>
      </c>
      <c r="P1" s="385" t="s">
        <v>677</v>
      </c>
      <c r="Q1" s="385" t="s">
        <v>0</v>
      </c>
    </row>
    <row r="2" spans="1:22" s="7" customFormat="1" ht="25" customHeight="1" x14ac:dyDescent="0.55000000000000004">
      <c r="A2" s="386" t="s">
        <v>890</v>
      </c>
      <c r="B2" s="620" t="s">
        <v>559</v>
      </c>
      <c r="C2" s="620"/>
      <c r="D2" s="620"/>
      <c r="E2" s="609" t="str">
        <f>IFERROR(IF(AND($B2&lt;&gt;"",VLOOKUP($B2,$O:$P,2,FALSE)&lt;&gt;""),VLOOKUP($B2,$O:$P,2,FALSE),$B2),IF($B2&lt;&gt;"",$B2,""))</f>
        <v>leah.adler@FakeDemoData.com</v>
      </c>
      <c r="F2" s="610"/>
      <c r="G2" s="610"/>
      <c r="H2" s="384"/>
      <c r="I2" s="18"/>
      <c r="J2" s="413"/>
      <c r="K2" s="419"/>
      <c r="L2" s="419"/>
      <c r="N2" s="387" t="s">
        <v>4</v>
      </c>
      <c r="O2" s="387" t="s">
        <v>465</v>
      </c>
      <c r="P2" s="372" t="s">
        <v>467</v>
      </c>
      <c r="Q2" s="387" t="s">
        <v>466</v>
      </c>
    </row>
    <row r="3" spans="1:22" s="7" customFormat="1" ht="25" customHeight="1" x14ac:dyDescent="0.55000000000000004">
      <c r="A3" s="388" t="s">
        <v>891</v>
      </c>
      <c r="B3" s="621" t="s">
        <v>567</v>
      </c>
      <c r="C3" s="621"/>
      <c r="D3" s="621"/>
      <c r="E3" s="609" t="str">
        <f>IFERROR(IF(AND($B3&lt;&gt;"",VLOOKUP($B3,$O:$P,2,FALSE)&lt;&gt;""),VLOOKUP($B3,$O:$P,2,FALSE),$B3),IF($B3&lt;&gt;"",$B3,""))</f>
        <v>gavin.park@FakeDemoData.com</v>
      </c>
      <c r="F3" s="610"/>
      <c r="G3" s="610"/>
      <c r="H3" s="384"/>
      <c r="I3" s="18"/>
      <c r="J3" s="413"/>
      <c r="K3" s="419"/>
      <c r="L3" s="419"/>
      <c r="N3" s="387" t="s">
        <v>4</v>
      </c>
      <c r="O3" s="387" t="s">
        <v>468</v>
      </c>
      <c r="P3" s="372" t="s">
        <v>470</v>
      </c>
      <c r="Q3" s="387" t="s">
        <v>469</v>
      </c>
    </row>
    <row r="4" spans="1:22" s="7" customFormat="1" ht="25" customHeight="1" x14ac:dyDescent="0.55000000000000004">
      <c r="E4" s="413"/>
      <c r="F4" s="413"/>
      <c r="G4" s="413"/>
      <c r="I4" s="389"/>
      <c r="J4" s="413"/>
      <c r="K4" s="413"/>
      <c r="L4" s="413"/>
      <c r="N4" s="387" t="s">
        <v>6</v>
      </c>
      <c r="O4" s="387" t="s">
        <v>471</v>
      </c>
      <c r="P4" s="372" t="s">
        <v>472</v>
      </c>
      <c r="Q4" s="387" t="s">
        <v>14</v>
      </c>
    </row>
    <row r="5" spans="1:22" s="7" customFormat="1" ht="25" customHeight="1" thickBot="1" x14ac:dyDescent="0.6">
      <c r="A5"/>
      <c r="B5" s="390" t="s">
        <v>687</v>
      </c>
      <c r="C5" s="390" t="s">
        <v>451</v>
      </c>
      <c r="D5" s="404" t="s">
        <v>458</v>
      </c>
      <c r="E5" s="410"/>
      <c r="F5" s="414"/>
      <c r="G5" s="414"/>
      <c r="H5" s="391" t="s">
        <v>668</v>
      </c>
      <c r="I5" s="406" t="s">
        <v>457</v>
      </c>
      <c r="J5" s="420" t="s">
        <v>453</v>
      </c>
      <c r="K5" s="420" t="s">
        <v>454</v>
      </c>
      <c r="L5" s="414" t="s">
        <v>452</v>
      </c>
      <c r="N5" s="392" t="s">
        <v>4</v>
      </c>
      <c r="O5" s="392" t="s">
        <v>473</v>
      </c>
      <c r="P5" s="392" t="s">
        <v>475</v>
      </c>
      <c r="Q5" s="392" t="s">
        <v>474</v>
      </c>
      <c r="R5" s="401" t="s">
        <v>669</v>
      </c>
      <c r="S5" s="401"/>
      <c r="T5" s="401"/>
      <c r="U5" s="401"/>
      <c r="V5" s="401"/>
    </row>
    <row r="6" spans="1:22" s="7" customFormat="1" ht="25" customHeight="1" x14ac:dyDescent="0.55000000000000004">
      <c r="A6" s="616" t="s">
        <v>688</v>
      </c>
      <c r="B6" s="244" t="s">
        <v>913</v>
      </c>
      <c r="C6" s="373" t="s">
        <v>361</v>
      </c>
      <c r="D6" s="374">
        <v>3</v>
      </c>
      <c r="E6" s="611" t="str">
        <f t="shared" ref="E6:E15" si="0">IFERROR(IF(AND($B6&lt;&gt;"",VLOOKUP($B6,$O:$P,2,FALSE)&lt;&gt;""),VLOOKUP($B6,$O:$P,2,FALSE),$B6),IF($B6&lt;&gt;"",$B6,""))</f>
        <v>w.barnes@demodata.com</v>
      </c>
      <c r="F6" s="611"/>
      <c r="G6" s="611"/>
      <c r="H6" s="407" t="b">
        <v>1</v>
      </c>
      <c r="I6" s="378" t="str">
        <f>_xlfn.TEXTJOIN(" ",TRUE,J6,K6)</f>
        <v>William Barnes</v>
      </c>
      <c r="J6" s="421" t="str" cm="1">
        <f t="array" ref="J6">IFERROR(IF(AND($B$16&lt;&gt;"",$H$16&lt;&gt;""),_xlfn.LET(
_xlpm.result,
IF($H$16="First Name",
INDEX($E$18:$E$27,MATCH(TRUE,INDEX(ISNUMBER(SEARCH(LOWER($E$18:$E$27),LOWER(B6))),0),0)),
INDEX($E$18:$E$27,MATCH(TRUE,INDEX(ISNUMBER(SEARCH(LOWER($F$18:$F$27),LOWER(B6))),0),0))
),
IF(_xlpm.result=0,"",_xlpm.result)
),""),"")</f>
        <v>William</v>
      </c>
      <c r="K6" s="422" t="str" cm="1">
        <f t="array" ref="K6">IFERROR(IF(AND($B$16&lt;&gt;"",$H$16&lt;&gt;""),
_xlfn.LET(
_xlpm.result,
IF($H$16="Second Name",
INDEX($F$18:$F$27,MATCH(TRUE,INDEX(ISNUMBER(SEARCH(LOWER($F$18:$F$27),LOWER(B6))),0),0)),
INDEX($E$18:$E$27,MATCH(TRUE,INDEX(ISNUMBER(SEARCH(LOWER($E$18:$E$27),LOWER(B6))),0),0))
),
IF(_xlpm.result=0,"",_xlpm.result)
),
""),"")</f>
        <v>Barnes</v>
      </c>
      <c r="L6" s="423" t="str">
        <f>_xlfn.TEXTJOIN(", ",TRUE,K6,J6)</f>
        <v>Barnes, William</v>
      </c>
      <c r="N6" s="387" t="s">
        <v>8</v>
      </c>
      <c r="O6" s="387" t="s">
        <v>476</v>
      </c>
      <c r="P6" s="372" t="s">
        <v>477</v>
      </c>
      <c r="Q6" s="387" t="s">
        <v>360</v>
      </c>
      <c r="R6" s="402"/>
      <c r="S6" s="635" t="s">
        <v>892</v>
      </c>
      <c r="T6" s="635"/>
      <c r="U6" s="635"/>
      <c r="V6" s="635"/>
    </row>
    <row r="7" spans="1:22" ht="25" customHeight="1" x14ac:dyDescent="0.55000000000000004">
      <c r="A7" s="617"/>
      <c r="B7" s="244" t="s">
        <v>914</v>
      </c>
      <c r="C7" s="373" t="s">
        <v>664</v>
      </c>
      <c r="D7" s="374">
        <v>1</v>
      </c>
      <c r="E7" s="611" t="str">
        <f t="shared" si="0"/>
        <v>m.chen@demodata.com</v>
      </c>
      <c r="F7" s="611"/>
      <c r="G7" s="611"/>
      <c r="H7" s="407" t="b">
        <v>0</v>
      </c>
      <c r="I7" s="378" t="str">
        <f t="shared" ref="I7:I15" si="1">_xlfn.TEXTJOIN(" ",TRUE,J7,K7)</f>
        <v>Maya Chen</v>
      </c>
      <c r="J7" s="421" t="str" cm="1">
        <f t="array" ref="J7">IFERROR(IF(AND($B$16&lt;&gt;"",$H$16&lt;&gt;""),_xlfn.LET(
_xlpm.result,
IF($H$16="First Name",
INDEX($E$18:$E$27,MATCH(TRUE,INDEX(ISNUMBER(SEARCH(LOWER($E$18:$E$27),LOWER(B7))),0),0)),
INDEX($E$18:$E$27,MATCH(TRUE,INDEX(ISNUMBER(SEARCH(LOWER($F$18:$F$27),LOWER(B7))),0),0))
),
IF(_xlpm.result=0,"",_xlpm.result)
),""),"")</f>
        <v>Maya</v>
      </c>
      <c r="K7" s="422" t="str" cm="1">
        <f t="array" ref="K7">IFERROR(IF(AND($B$16&lt;&gt;"",$H$16&lt;&gt;""),
_xlfn.LET(
_xlpm.result,
IF($H$16="Second Name",
INDEX($F$18:$F$27,MATCH(TRUE,INDEX(ISNUMBER(SEARCH(LOWER($F$18:$F$27),LOWER(B7))),0),0)),
INDEX($E$18:$E$27,MATCH(TRUE,INDEX(ISNUMBER(SEARCH(LOWER($E$18:$E$27),LOWER(B7))),0),0))
),
IF(_xlpm.result=0,"",_xlpm.result)
),
""),"")</f>
        <v>Chen</v>
      </c>
      <c r="L7" s="423" t="str">
        <f t="shared" ref="L7:L15" si="2">_xlfn.TEXTJOIN(", ",TRUE,K7,J7)</f>
        <v>Chen, Maya</v>
      </c>
      <c r="M7" s="7"/>
      <c r="N7" s="387" t="s">
        <v>6</v>
      </c>
      <c r="O7" s="387" t="s">
        <v>478</v>
      </c>
      <c r="P7" s="387" t="s">
        <v>480</v>
      </c>
      <c r="Q7" s="387" t="s">
        <v>479</v>
      </c>
      <c r="R7" s="403"/>
      <c r="S7" s="635"/>
      <c r="T7" s="635"/>
      <c r="U7" s="635"/>
      <c r="V7" s="635"/>
    </row>
    <row r="8" spans="1:22" ht="25" customHeight="1" x14ac:dyDescent="0.55000000000000004">
      <c r="A8" s="393" t="s">
        <v>670</v>
      </c>
      <c r="B8" s="244" t="s">
        <v>915</v>
      </c>
      <c r="C8" s="373" t="s">
        <v>364</v>
      </c>
      <c r="D8" s="374"/>
      <c r="E8" s="611" t="str">
        <f t="shared" si="0"/>
        <v>t.navarro@demodata.com</v>
      </c>
      <c r="F8" s="611"/>
      <c r="G8" s="611"/>
      <c r="H8" s="407" t="b">
        <v>1</v>
      </c>
      <c r="I8" s="378" t="str">
        <f t="shared" si="1"/>
        <v>Theo Navarro</v>
      </c>
      <c r="J8" s="421" t="str" cm="1">
        <f t="array" ref="J8">IFERROR(IF(AND($B$16&lt;&gt;"",$H$16&lt;&gt;""),_xlfn.LET(
_xlpm.result,
IF($H$16="First Name",
INDEX($E$18:$E$27,MATCH(TRUE,INDEX(ISNUMBER(SEARCH(LOWER($E$18:$E$27),LOWER(B8))),0),0)),
INDEX($E$18:$E$27,MATCH(TRUE,INDEX(ISNUMBER(SEARCH(LOWER($F$18:$F$27),LOWER(B8))),0),0))
),
IF(_xlpm.result=0,"",_xlpm.result)
),""),"")</f>
        <v>Theo</v>
      </c>
      <c r="K8" s="422" t="str" cm="1">
        <f t="array" ref="K8">IFERROR(IF(AND($B$16&lt;&gt;"",$H$16&lt;&gt;""),
_xlfn.LET(
_xlpm.result,
IF($H$16="Second Name",
INDEX($F$18:$F$27,MATCH(TRUE,INDEX(ISNUMBER(SEARCH(LOWER($F$18:$F$27),LOWER(B8))),0),0)),
INDEX($E$18:$E$27,MATCH(TRUE,INDEX(ISNUMBER(SEARCH(LOWER($E$18:$E$27),LOWER(B8))),0),0))
),
IF(_xlpm.result=0,"",_xlpm.result)
),
""),"")</f>
        <v>Navarro</v>
      </c>
      <c r="L8" s="423" t="str">
        <f t="shared" si="2"/>
        <v>Navarro, Theo</v>
      </c>
      <c r="M8" s="7"/>
      <c r="N8" s="387" t="s">
        <v>6</v>
      </c>
      <c r="O8" s="387" t="s">
        <v>481</v>
      </c>
      <c r="P8" s="387" t="s">
        <v>483</v>
      </c>
      <c r="Q8" s="387" t="s">
        <v>482</v>
      </c>
      <c r="R8" s="403"/>
      <c r="S8" s="635"/>
      <c r="T8" s="635"/>
      <c r="U8" s="635"/>
      <c r="V8" s="635"/>
    </row>
    <row r="9" spans="1:22" ht="25" customHeight="1" x14ac:dyDescent="0.55000000000000004">
      <c r="A9" s="614" t="s">
        <v>689</v>
      </c>
      <c r="B9" s="244" t="s">
        <v>917</v>
      </c>
      <c r="C9" s="373" t="s">
        <v>364</v>
      </c>
      <c r="D9" s="374"/>
      <c r="E9" s="611" t="str">
        <f t="shared" si="0"/>
        <v>n.reed@demodata.com</v>
      </c>
      <c r="F9" s="611"/>
      <c r="G9" s="611"/>
      <c r="H9" s="407" t="b">
        <v>1</v>
      </c>
      <c r="I9" s="378" t="str">
        <f t="shared" si="1"/>
        <v>Noaln Reed</v>
      </c>
      <c r="J9" s="421" t="str" cm="1">
        <f t="array" ref="J9">IFERROR(IF(AND($B$16&lt;&gt;"",$H$16&lt;&gt;""),_xlfn.LET(
_xlpm.result,
IF($H$16="First Name",
INDEX($E$18:$E$27,MATCH(TRUE,INDEX(ISNUMBER(SEARCH(LOWER($E$18:$E$27),LOWER(B9))),0),0)),
INDEX($E$18:$E$27,MATCH(TRUE,INDEX(ISNUMBER(SEARCH(LOWER($F$18:$F$27),LOWER(B9))),0),0))
),
IF(_xlpm.result=0,"",_xlpm.result)
),""),"")</f>
        <v>Noaln</v>
      </c>
      <c r="K9" s="422" t="str" cm="1">
        <f t="array" ref="K9">IFERROR(IF(AND($B$16&lt;&gt;"",$H$16&lt;&gt;""),
_xlfn.LET(
_xlpm.result,
IF($H$16="Second Name",
INDEX($F$18:$F$27,MATCH(TRUE,INDEX(ISNUMBER(SEARCH(LOWER($F$18:$F$27),LOWER(B9))),0),0)),
INDEX($E$18:$E$27,MATCH(TRUE,INDEX(ISNUMBER(SEARCH(LOWER($E$18:$E$27),LOWER(B9))),0),0))
),
IF(_xlpm.result=0,"",_xlpm.result)
),
""),"")</f>
        <v>Reed</v>
      </c>
      <c r="L9" s="423" t="str">
        <f t="shared" si="2"/>
        <v>Reed, Noaln</v>
      </c>
      <c r="M9" s="7"/>
      <c r="N9" s="387" t="s">
        <v>8</v>
      </c>
      <c r="O9" s="387" t="s">
        <v>484</v>
      </c>
      <c r="P9" s="387" t="s">
        <v>486</v>
      </c>
      <c r="Q9" s="387" t="s">
        <v>485</v>
      </c>
    </row>
    <row r="10" spans="1:22" ht="25" customHeight="1" x14ac:dyDescent="0.55000000000000004">
      <c r="A10" s="614"/>
      <c r="B10" s="244"/>
      <c r="C10" s="373"/>
      <c r="D10" s="374"/>
      <c r="E10" s="611" t="str">
        <f t="shared" si="0"/>
        <v/>
      </c>
      <c r="F10" s="611"/>
      <c r="G10" s="611"/>
      <c r="H10" s="407" t="b">
        <v>0</v>
      </c>
      <c r="I10" s="378" t="str">
        <f t="shared" si="1"/>
        <v/>
      </c>
      <c r="J10" s="421" t="str" cm="1">
        <f t="array" ref="J10">IFERROR(IF(AND($B$16&lt;&gt;"",$H$16&lt;&gt;""),_xlfn.LET(
_xlpm.result,
IF($H$16="First Name",
INDEX($E$18:$E$27,MATCH(TRUE,INDEX(ISNUMBER(SEARCH(LOWER($E$18:$E$27),LOWER(B10))),0),0)),
INDEX($E$18:$E$27,MATCH(TRUE,INDEX(ISNUMBER(SEARCH(LOWER($F$18:$F$27),LOWER(B10))),0),0))
),
IF(_xlpm.result=0,"",_xlpm.result)
),""),"")</f>
        <v/>
      </c>
      <c r="K10" s="422" t="str" cm="1">
        <f t="array" ref="K10">IFERROR(IF(AND($B$16&lt;&gt;"",$H$16&lt;&gt;""),
_xlfn.LET(
_xlpm.result,
IF($H$16="Second Name",
INDEX($F$18:$F$27,MATCH(TRUE,INDEX(ISNUMBER(SEARCH(LOWER($F$18:$F$27),LOWER(B10))),0),0)),
INDEX($E$18:$E$27,MATCH(TRUE,INDEX(ISNUMBER(SEARCH(LOWER($E$18:$E$27),LOWER(B10))),0),0))
),
IF(_xlpm.result=0,"",_xlpm.result)
),
""),"")</f>
        <v/>
      </c>
      <c r="L10" s="423" t="str">
        <f t="shared" si="2"/>
        <v/>
      </c>
      <c r="M10" s="7"/>
      <c r="N10" s="387" t="s">
        <v>4</v>
      </c>
      <c r="O10" s="387" t="s">
        <v>487</v>
      </c>
      <c r="P10" s="372" t="s">
        <v>489</v>
      </c>
      <c r="Q10" s="387" t="s">
        <v>488</v>
      </c>
      <c r="R10" s="401" t="s">
        <v>460</v>
      </c>
      <c r="S10" s="401"/>
      <c r="T10" s="401"/>
      <c r="U10" s="401"/>
      <c r="V10" s="401"/>
    </row>
    <row r="11" spans="1:22" ht="25" customHeight="1" x14ac:dyDescent="0.55000000000000004">
      <c r="A11" s="618" t="s">
        <v>714</v>
      </c>
      <c r="B11" s="244"/>
      <c r="C11" s="373"/>
      <c r="D11" s="374"/>
      <c r="E11" s="611" t="str">
        <f t="shared" si="0"/>
        <v/>
      </c>
      <c r="F11" s="611"/>
      <c r="G11" s="611"/>
      <c r="H11" s="407" t="b">
        <v>0</v>
      </c>
      <c r="I11" s="378" t="str">
        <f t="shared" si="1"/>
        <v/>
      </c>
      <c r="J11" s="421" t="str" cm="1">
        <f t="array" ref="J11">IFERROR(IF(AND($B$16&lt;&gt;"",$H$16&lt;&gt;""),_xlfn.LET(
_xlpm.result,
IF($H$16="First Name",
INDEX($E$18:$E$27,MATCH(TRUE,INDEX(ISNUMBER(SEARCH(LOWER($E$18:$E$27),LOWER(B11))),0),0)),
INDEX($E$18:$E$27,MATCH(TRUE,INDEX(ISNUMBER(SEARCH(LOWER($F$18:$F$27),LOWER(B11))),0),0))
),
IF(_xlpm.result=0,"",_xlpm.result)
),""),"")</f>
        <v/>
      </c>
      <c r="K11" s="422" t="str" cm="1">
        <f t="array" ref="K11">IFERROR(IF(AND($B$16&lt;&gt;"",$H$16&lt;&gt;""),
_xlfn.LET(
_xlpm.result,
IF($H$16="Second Name",
INDEX($F$18:$F$27,MATCH(TRUE,INDEX(ISNUMBER(SEARCH(LOWER($F$18:$F$27),LOWER(B11))),0),0)),
INDEX($E$18:$E$27,MATCH(TRUE,INDEX(ISNUMBER(SEARCH(LOWER($E$18:$E$27),LOWER(B11))),0),0))
),
IF(_xlpm.result=0,"",_xlpm.result)
),
""),"")</f>
        <v/>
      </c>
      <c r="L11" s="423" t="str">
        <f t="shared" si="2"/>
        <v/>
      </c>
      <c r="M11" s="7"/>
      <c r="N11" s="387" t="s">
        <v>8</v>
      </c>
      <c r="O11" s="387" t="s">
        <v>490</v>
      </c>
      <c r="P11" s="387" t="s">
        <v>492</v>
      </c>
      <c r="Q11" s="387" t="s">
        <v>491</v>
      </c>
      <c r="R11" s="402"/>
      <c r="S11" s="635" t="s">
        <v>671</v>
      </c>
      <c r="T11" s="635"/>
      <c r="U11" s="635"/>
      <c r="V11" s="635"/>
    </row>
    <row r="12" spans="1:22" s="7" customFormat="1" ht="25" customHeight="1" x14ac:dyDescent="0.55000000000000004">
      <c r="A12" s="618"/>
      <c r="B12" s="244"/>
      <c r="C12" s="373"/>
      <c r="D12" s="374"/>
      <c r="E12" s="611" t="str">
        <f t="shared" si="0"/>
        <v/>
      </c>
      <c r="F12" s="611"/>
      <c r="G12" s="611"/>
      <c r="H12" s="407" t="b">
        <v>0</v>
      </c>
      <c r="I12" s="378" t="str">
        <f t="shared" si="1"/>
        <v/>
      </c>
      <c r="J12" s="421" t="str" cm="1">
        <f t="array" ref="J12">IFERROR(IF(AND($B$16&lt;&gt;"",$H$16&lt;&gt;""),_xlfn.LET(
_xlpm.result,
IF($H$16="First Name",
INDEX($E$18:$E$27,MATCH(TRUE,INDEX(ISNUMBER(SEARCH(LOWER($E$18:$E$27),LOWER(B12))),0),0)),
INDEX($E$18:$E$27,MATCH(TRUE,INDEX(ISNUMBER(SEARCH(LOWER($F$18:$F$27),LOWER(B12))),0),0))
),
IF(_xlpm.result=0,"",_xlpm.result)
),""),"")</f>
        <v/>
      </c>
      <c r="K12" s="422" t="str" cm="1">
        <f t="array" ref="K12">IFERROR(IF(AND($B$16&lt;&gt;"",$H$16&lt;&gt;""),
_xlfn.LET(
_xlpm.result,
IF($H$16="Second Name",
INDEX($F$18:$F$27,MATCH(TRUE,INDEX(ISNUMBER(SEARCH(LOWER($F$18:$F$27),LOWER(B12))),0),0)),
INDEX($E$18:$E$27,MATCH(TRUE,INDEX(ISNUMBER(SEARCH(LOWER($E$18:$E$27),LOWER(B12))),0),0))
),
IF(_xlpm.result=0,"",_xlpm.result)
),
""),"")</f>
        <v/>
      </c>
      <c r="L12" s="423" t="str">
        <f t="shared" si="2"/>
        <v/>
      </c>
      <c r="N12" s="387" t="s">
        <v>4</v>
      </c>
      <c r="O12" s="387" t="s">
        <v>493</v>
      </c>
      <c r="P12" s="387" t="s">
        <v>495</v>
      </c>
      <c r="Q12" s="387" t="s">
        <v>494</v>
      </c>
      <c r="R12" s="403"/>
      <c r="S12" s="635"/>
      <c r="T12" s="635"/>
      <c r="U12" s="635"/>
      <c r="V12" s="635"/>
    </row>
    <row r="13" spans="1:22" ht="25" customHeight="1" x14ac:dyDescent="0.55000000000000004">
      <c r="A13" s="615" t="s">
        <v>672</v>
      </c>
      <c r="B13" s="244"/>
      <c r="C13" s="373"/>
      <c r="D13" s="374"/>
      <c r="E13" s="611" t="str">
        <f t="shared" si="0"/>
        <v/>
      </c>
      <c r="F13" s="611"/>
      <c r="G13" s="611"/>
      <c r="H13" s="407" t="b">
        <v>0</v>
      </c>
      <c r="I13" s="378" t="str">
        <f t="shared" si="1"/>
        <v/>
      </c>
      <c r="J13" s="421" t="str" cm="1">
        <f t="array" ref="J13">IFERROR(IF(AND($B$16&lt;&gt;"",$H$16&lt;&gt;""),_xlfn.LET(
_xlpm.result,
IF($H$16="First Name",
INDEX($E$18:$E$27,MATCH(TRUE,INDEX(ISNUMBER(SEARCH(LOWER($E$18:$E$27),LOWER(B13))),0),0)),
INDEX($E$18:$E$27,MATCH(TRUE,INDEX(ISNUMBER(SEARCH(LOWER($F$18:$F$27),LOWER(B13))),0),0))
),
IF(_xlpm.result=0,"",_xlpm.result)
),""),"")</f>
        <v/>
      </c>
      <c r="K13" s="422" t="str" cm="1">
        <f t="array" ref="K13">IFERROR(IF(AND($B$16&lt;&gt;"",$H$16&lt;&gt;""),
_xlfn.LET(
_xlpm.result,
IF($H$16="Second Name",
INDEX($F$18:$F$27,MATCH(TRUE,INDEX(ISNUMBER(SEARCH(LOWER($F$18:$F$27),LOWER(B13))),0),0)),
INDEX($E$18:$E$27,MATCH(TRUE,INDEX(ISNUMBER(SEARCH(LOWER($E$18:$E$27),LOWER(B13))),0),0))
),
IF(_xlpm.result=0,"",_xlpm.result)
),
""),"")</f>
        <v/>
      </c>
      <c r="L13" s="423" t="str">
        <f t="shared" si="2"/>
        <v/>
      </c>
      <c r="M13" s="7"/>
      <c r="N13" s="387" t="s">
        <v>4</v>
      </c>
      <c r="O13" s="387" t="s">
        <v>496</v>
      </c>
      <c r="P13" s="387" t="s">
        <v>498</v>
      </c>
      <c r="Q13" s="387" t="s">
        <v>497</v>
      </c>
      <c r="R13" s="403"/>
      <c r="S13" s="635"/>
      <c r="T13" s="635"/>
      <c r="U13" s="635"/>
      <c r="V13" s="635"/>
    </row>
    <row r="14" spans="1:22" ht="25" customHeight="1" x14ac:dyDescent="0.55000000000000004">
      <c r="A14" s="615"/>
      <c r="B14" s="244"/>
      <c r="C14" s="373"/>
      <c r="D14" s="374"/>
      <c r="E14" s="611" t="str">
        <f t="shared" si="0"/>
        <v/>
      </c>
      <c r="F14" s="611"/>
      <c r="G14" s="611"/>
      <c r="H14" s="407" t="b">
        <v>0</v>
      </c>
      <c r="I14" s="378" t="str">
        <f t="shared" si="1"/>
        <v/>
      </c>
      <c r="J14" s="421" t="str" cm="1">
        <f t="array" ref="J14">IFERROR(IF(AND($B$16&lt;&gt;"",$H$16&lt;&gt;""),_xlfn.LET(
_xlpm.result,
IF($H$16="First Name",
INDEX($E$18:$E$27,MATCH(TRUE,INDEX(ISNUMBER(SEARCH(LOWER($E$18:$E$27),LOWER(B14))),0),0)),
INDEX($E$18:$E$27,MATCH(TRUE,INDEX(ISNUMBER(SEARCH(LOWER($F$18:$F$27),LOWER(B14))),0),0))
),
IF(_xlpm.result=0,"",_xlpm.result)
),""),"")</f>
        <v/>
      </c>
      <c r="K14" s="422" t="str" cm="1">
        <f t="array" ref="K14">IFERROR(IF(AND($B$16&lt;&gt;"",$H$16&lt;&gt;""),
_xlfn.LET(
_xlpm.result,
IF($H$16="Second Name",
INDEX($F$18:$F$27,MATCH(TRUE,INDEX(ISNUMBER(SEARCH(LOWER($F$18:$F$27),LOWER(B14))),0),0)),
INDEX($E$18:$E$27,MATCH(TRUE,INDEX(ISNUMBER(SEARCH(LOWER($E$18:$E$27),LOWER(B14))),0),0))
),
IF(_xlpm.result=0,"",_xlpm.result)
),
""),"")</f>
        <v/>
      </c>
      <c r="L14" s="423" t="str">
        <f t="shared" si="2"/>
        <v/>
      </c>
      <c r="M14" s="7"/>
      <c r="N14" s="387" t="s">
        <v>8</v>
      </c>
      <c r="O14" s="387" t="s">
        <v>499</v>
      </c>
      <c r="P14" s="387" t="s">
        <v>501</v>
      </c>
      <c r="Q14" s="387" t="s">
        <v>500</v>
      </c>
      <c r="R14" s="402"/>
      <c r="S14" s="635" t="s">
        <v>673</v>
      </c>
      <c r="T14" s="635"/>
      <c r="U14" s="635"/>
      <c r="V14" s="635"/>
    </row>
    <row r="15" spans="1:22" ht="25" customHeight="1" x14ac:dyDescent="0.55000000000000004">
      <c r="A15" s="394" t="s">
        <v>715</v>
      </c>
      <c r="B15" s="375"/>
      <c r="C15" s="376"/>
      <c r="D15" s="377"/>
      <c r="E15" s="611" t="str">
        <f t="shared" si="0"/>
        <v/>
      </c>
      <c r="F15" s="611"/>
      <c r="G15" s="611"/>
      <c r="H15" s="408" t="b">
        <v>0</v>
      </c>
      <c r="I15" s="379" t="str">
        <f t="shared" si="1"/>
        <v/>
      </c>
      <c r="J15" s="421" t="str" cm="1">
        <f t="array" ref="J15">IFERROR(IF(AND($B$16&lt;&gt;"",$H$16&lt;&gt;""),_xlfn.LET(
_xlpm.result,
IF($H$16="First Name",
INDEX($E$18:$E$27,MATCH(TRUE,INDEX(ISNUMBER(SEARCH(LOWER($E$18:$E$27),LOWER(B15))),0),0)),
INDEX($E$18:$E$27,MATCH(TRUE,INDEX(ISNUMBER(SEARCH(LOWER($F$18:$F$27),LOWER(B15))),0),0))
),
IF(_xlpm.result=0,"",_xlpm.result)
),""),"")</f>
        <v/>
      </c>
      <c r="K15" s="422" t="str" cm="1">
        <f t="array" ref="K15">IFERROR(IF(AND($B$16&lt;&gt;"",$H$16&lt;&gt;""),
_xlfn.LET(
_xlpm.result,
IF($H$16="Second Name",
INDEX($F$18:$F$27,MATCH(TRUE,INDEX(ISNUMBER(SEARCH(LOWER($F$18:$F$27),LOWER(B15))),0),0)),
INDEX($E$18:$E$27,MATCH(TRUE,INDEX(ISNUMBER(SEARCH(LOWER($E$18:$E$27),LOWER(B15))),0),0))
),
IF(_xlpm.result=0,"",_xlpm.result)
),
""),"")</f>
        <v/>
      </c>
      <c r="L15" s="423" t="str">
        <f t="shared" si="2"/>
        <v/>
      </c>
      <c r="M15" s="7"/>
      <c r="N15" s="387" t="s">
        <v>4</v>
      </c>
      <c r="O15" s="387" t="s">
        <v>502</v>
      </c>
      <c r="P15" s="387" t="s">
        <v>504</v>
      </c>
      <c r="Q15" s="387" t="s">
        <v>503</v>
      </c>
      <c r="R15" s="403"/>
      <c r="S15" s="635"/>
      <c r="T15" s="635"/>
      <c r="U15" s="635"/>
      <c r="V15" s="635"/>
    </row>
    <row r="16" spans="1:22" ht="25" customHeight="1" x14ac:dyDescent="0.55000000000000004">
      <c r="A16" s="395" t="s">
        <v>464</v>
      </c>
      <c r="B16" s="612" t="s">
        <v>916</v>
      </c>
      <c r="C16" s="612"/>
      <c r="D16" s="613"/>
      <c r="E16" s="599"/>
      <c r="F16" s="600"/>
      <c r="G16" s="600"/>
      <c r="H16" s="637" t="s">
        <v>455</v>
      </c>
      <c r="I16" s="638"/>
      <c r="N16" s="387" t="s">
        <v>4</v>
      </c>
      <c r="O16" s="387" t="s">
        <v>505</v>
      </c>
      <c r="P16" s="387" t="s">
        <v>507</v>
      </c>
      <c r="Q16" s="387" t="s">
        <v>506</v>
      </c>
      <c r="R16" s="403"/>
      <c r="S16" s="635"/>
      <c r="T16" s="635"/>
      <c r="U16" s="635"/>
      <c r="V16" s="635"/>
    </row>
    <row r="17" spans="1:22" ht="25" customHeight="1" x14ac:dyDescent="0.55000000000000004">
      <c r="B17" s="381"/>
      <c r="C17" s="381"/>
      <c r="D17" s="381"/>
      <c r="E17" s="409" t="s">
        <v>461</v>
      </c>
      <c r="F17" s="409" t="s">
        <v>462</v>
      </c>
      <c r="G17" s="409" t="s">
        <v>463</v>
      </c>
      <c r="H17" s="381"/>
      <c r="I17" s="396"/>
      <c r="M17" s="7"/>
      <c r="N17" s="387" t="s">
        <v>6</v>
      </c>
      <c r="O17" s="387" t="s">
        <v>508</v>
      </c>
      <c r="P17" s="372" t="s">
        <v>510</v>
      </c>
      <c r="Q17" s="405" t="s">
        <v>509</v>
      </c>
      <c r="R17" s="636" t="s">
        <v>713</v>
      </c>
      <c r="S17" s="636"/>
      <c r="T17" s="636"/>
      <c r="U17" s="636"/>
      <c r="V17" s="636"/>
    </row>
    <row r="18" spans="1:22" ht="25" customHeight="1" x14ac:dyDescent="0.55000000000000004">
      <c r="A18" s="623" t="s">
        <v>691</v>
      </c>
      <c r="B18" s="624"/>
      <c r="C18" s="624"/>
      <c r="D18" s="624"/>
      <c r="E18" s="418" t="str" cm="1">
        <f t="array" ref="E18:F21">_xlfn.LET(
  _xlpm.names, _xlfn.TEXTSPLIT($B$16,, ";", TRUE),
  _xlpm.trimmed, TRIM(_xlpm.names),
  _xlpm.fixed, IF(ISNUMBER(SEARCH(",", _xlpm.trimmed)), TRIM(_xlfn.TEXTAFTER(_xlpm.trimmed, ",") &amp; " " &amp; _xlfn.TEXTBEFORE(_xlpm.trimmed, ",")), _xlpm.trimmed),
  _xlpm.first, _xlfn.TEXTBEFORE(_xlpm.fixed, " "),
  _xlpm.last, _xlfn.TEXTAFTER(_xlpm.fixed, " ", -1),
  _xlfn.HSTACK(_xlpm.first, _xlpm.last)
)</f>
        <v>William</v>
      </c>
      <c r="F18" s="416" t="str">
        <v>Barnes</v>
      </c>
      <c r="G18" s="417" t="str" cm="1">
        <f t="array" ref="G18:G21">TRANSPOSE(_xlfn.TEXTSPLIT(B16,";",TRUE,TRUE))</f>
        <v>Barnes,William</v>
      </c>
      <c r="I18" s="396"/>
      <c r="K18" s="419"/>
      <c r="L18" s="419"/>
      <c r="M18" s="7"/>
      <c r="N18" s="387" t="s">
        <v>4</v>
      </c>
      <c r="O18" s="387" t="s">
        <v>511</v>
      </c>
      <c r="P18" s="372" t="s">
        <v>513</v>
      </c>
      <c r="Q18" s="405" t="s">
        <v>512</v>
      </c>
      <c r="R18" s="636"/>
      <c r="S18" s="636"/>
      <c r="T18" s="636"/>
      <c r="U18" s="636"/>
      <c r="V18" s="636"/>
    </row>
    <row r="19" spans="1:22" ht="25" customHeight="1" x14ac:dyDescent="0.55000000000000004">
      <c r="A19" s="397" t="s">
        <v>9</v>
      </c>
      <c r="B19" s="625">
        <v>46079</v>
      </c>
      <c r="C19" s="626"/>
      <c r="D19" s="627"/>
      <c r="E19" s="415" t="str">
        <v>Maya</v>
      </c>
      <c r="F19" s="416" t="str">
        <v>Chen</v>
      </c>
      <c r="G19" s="417" t="str">
        <v xml:space="preserve"> Chen, Maya</v>
      </c>
      <c r="H19" s="398"/>
      <c r="I19" s="396"/>
      <c r="K19" s="419"/>
      <c r="L19" s="419"/>
      <c r="M19" s="7"/>
      <c r="N19" s="387" t="s">
        <v>4</v>
      </c>
      <c r="O19" s="387" t="s">
        <v>514</v>
      </c>
      <c r="P19" s="387" t="s">
        <v>516</v>
      </c>
      <c r="Q19" s="405" t="s">
        <v>515</v>
      </c>
      <c r="R19" s="636"/>
      <c r="S19" s="636"/>
      <c r="T19" s="636"/>
      <c r="U19" s="636"/>
      <c r="V19" s="636"/>
    </row>
    <row r="20" spans="1:22" ht="25" customHeight="1" x14ac:dyDescent="0.55000000000000004">
      <c r="A20" s="397" t="s">
        <v>10</v>
      </c>
      <c r="B20" s="628" t="s">
        <v>918</v>
      </c>
      <c r="C20" s="629"/>
      <c r="D20" s="630"/>
      <c r="E20" s="415" t="str">
        <v>Theo</v>
      </c>
      <c r="F20" s="416" t="str">
        <v>Navarro</v>
      </c>
      <c r="G20" s="417" t="str">
        <v xml:space="preserve"> Navarro,Theo</v>
      </c>
      <c r="H20" s="398"/>
      <c r="I20" s="396"/>
      <c r="K20" s="419"/>
      <c r="L20" s="419"/>
      <c r="M20" s="7"/>
      <c r="N20" s="387" t="s">
        <v>8</v>
      </c>
      <c r="O20" s="387" t="s">
        <v>517</v>
      </c>
      <c r="P20" s="372" t="s">
        <v>519</v>
      </c>
      <c r="Q20" s="387" t="s">
        <v>518</v>
      </c>
      <c r="R20" s="7"/>
    </row>
    <row r="21" spans="1:22" ht="25" customHeight="1" x14ac:dyDescent="0.55000000000000004">
      <c r="B21" s="631"/>
      <c r="C21" s="631"/>
      <c r="D21" s="631"/>
      <c r="E21" s="415" t="str">
        <v>Noaln</v>
      </c>
      <c r="F21" s="416" t="str">
        <v>Reed</v>
      </c>
      <c r="G21" s="417" t="str">
        <v xml:space="preserve"> Reed,Noaln</v>
      </c>
      <c r="H21" s="398"/>
      <c r="I21" s="396"/>
      <c r="M21" s="7"/>
      <c r="N21" s="387" t="s">
        <v>6</v>
      </c>
      <c r="O21" s="387" t="s">
        <v>520</v>
      </c>
      <c r="P21" s="372" t="s">
        <v>521</v>
      </c>
      <c r="Q21" s="387" t="s">
        <v>80</v>
      </c>
      <c r="R21" s="7"/>
    </row>
    <row r="22" spans="1:22" ht="25" customHeight="1" x14ac:dyDescent="0.55000000000000004">
      <c r="A22" s="399" t="s">
        <v>11</v>
      </c>
      <c r="B22" s="632" t="s">
        <v>692</v>
      </c>
      <c r="C22" s="633"/>
      <c r="D22" s="634"/>
      <c r="E22" s="415"/>
      <c r="F22" s="416"/>
      <c r="G22" s="417"/>
      <c r="H22" s="398"/>
      <c r="I22" s="396"/>
      <c r="K22" s="419"/>
      <c r="L22" s="419"/>
      <c r="M22" s="7"/>
      <c r="N22" s="387" t="s">
        <v>8</v>
      </c>
      <c r="O22" s="387" t="s">
        <v>589</v>
      </c>
      <c r="P22" s="387" t="s">
        <v>590</v>
      </c>
      <c r="Q22" s="387" t="s">
        <v>522</v>
      </c>
      <c r="R22" s="7"/>
    </row>
    <row r="23" spans="1:22" ht="25" customHeight="1" x14ac:dyDescent="0.55000000000000004">
      <c r="E23" s="415"/>
      <c r="F23" s="416"/>
      <c r="G23" s="417"/>
      <c r="H23" s="400"/>
      <c r="I23" s="396"/>
      <c r="M23" s="7"/>
      <c r="N23" s="387" t="s">
        <v>6</v>
      </c>
      <c r="O23" s="387" t="s">
        <v>523</v>
      </c>
      <c r="P23" s="387" t="s">
        <v>524</v>
      </c>
      <c r="Q23" s="387" t="s">
        <v>5</v>
      </c>
      <c r="R23" s="7"/>
    </row>
    <row r="24" spans="1:22" ht="25" customHeight="1" x14ac:dyDescent="0.55000000000000004">
      <c r="E24" s="415"/>
      <c r="F24" s="416"/>
      <c r="G24" s="417"/>
      <c r="H24" s="400"/>
      <c r="I24" s="396"/>
      <c r="M24" s="7"/>
      <c r="N24" s="387" t="s">
        <v>4</v>
      </c>
      <c r="O24" s="387" t="s">
        <v>525</v>
      </c>
      <c r="P24" s="387" t="s">
        <v>527</v>
      </c>
      <c r="Q24" s="387" t="s">
        <v>526</v>
      </c>
    </row>
    <row r="25" spans="1:22" ht="25" customHeight="1" x14ac:dyDescent="0.55000000000000004">
      <c r="E25" s="415"/>
      <c r="F25" s="416"/>
      <c r="G25" s="417"/>
      <c r="H25" s="400"/>
      <c r="I25" s="396"/>
      <c r="M25" s="7"/>
      <c r="N25" s="387" t="s">
        <v>4</v>
      </c>
      <c r="O25" s="387" t="s">
        <v>528</v>
      </c>
      <c r="P25" s="372" t="s">
        <v>530</v>
      </c>
      <c r="Q25" s="387" t="s">
        <v>529</v>
      </c>
    </row>
    <row r="26" spans="1:22" ht="25" customHeight="1" x14ac:dyDescent="0.55000000000000004">
      <c r="E26" s="415"/>
      <c r="F26" s="416"/>
      <c r="G26" s="417"/>
      <c r="I26" s="396"/>
      <c r="M26" s="7"/>
      <c r="N26" s="387" t="s">
        <v>8</v>
      </c>
      <c r="O26" s="387" t="s">
        <v>531</v>
      </c>
      <c r="P26" s="387" t="s">
        <v>533</v>
      </c>
      <c r="Q26" s="387" t="s">
        <v>532</v>
      </c>
    </row>
    <row r="27" spans="1:22" ht="25" customHeight="1" x14ac:dyDescent="0.55000000000000004">
      <c r="E27" s="415"/>
      <c r="F27" s="416"/>
      <c r="G27" s="417"/>
      <c r="I27" s="396"/>
      <c r="M27" s="7"/>
      <c r="N27" s="387" t="s">
        <v>8</v>
      </c>
      <c r="O27" s="387" t="s">
        <v>534</v>
      </c>
      <c r="P27" s="372" t="s">
        <v>535</v>
      </c>
      <c r="Q27" s="387" t="s">
        <v>353</v>
      </c>
    </row>
    <row r="28" spans="1:22" ht="25" customHeight="1" x14ac:dyDescent="0.55000000000000004">
      <c r="E28" s="418" t="s">
        <v>459</v>
      </c>
      <c r="F28" s="622" t="str">
        <f>CHOOSE($D6,IF(I6&lt;&gt;"",I6,""),IF(I7&lt;&gt;"",I7,""),IF(I8&lt;&gt;"",I8,""),IF(I9&lt;&gt;"",I9,""),IF(I10&lt;&gt;"",I10,""),IF(I11&lt;&gt;"",I11,""),IF(I12&lt;&gt;"",I12,""),IF(I13&lt;&gt;"",I13,""),IF(I14&lt;&gt;"",I14,""),IF(I15&lt;&gt;"",I15,""))</f>
        <v>Theo Navarro</v>
      </c>
      <c r="G28" s="609"/>
      <c r="N28" s="387" t="s">
        <v>4</v>
      </c>
      <c r="O28" s="387" t="s">
        <v>536</v>
      </c>
      <c r="P28" s="372" t="s">
        <v>538</v>
      </c>
      <c r="Q28" s="387" t="s">
        <v>537</v>
      </c>
    </row>
    <row r="29" spans="1:22" ht="25" customHeight="1" x14ac:dyDescent="0.55000000000000004">
      <c r="E29" s="418" t="s">
        <v>690</v>
      </c>
      <c r="F29" s="622" t="str">
        <f>CHOOSE($D6,IF(B6&lt;&gt;"",B6,""),IF(B7&lt;&gt;"",B7,""),IF(B8&lt;&gt;"",B8,""),IF(B9&lt;&gt;"",B9,""),IF(B10&lt;&gt;"",B10,""),IF(B11&lt;&gt;"",B11,""),IF(B12&lt;&gt;"",B12,""),IF(B13&lt;&gt;"",B13,""),IF(B14&lt;&gt;"",B14,""),IF(B15&lt;&gt;"",B15,""))</f>
        <v>t.navarro@demodata.com</v>
      </c>
      <c r="G29" s="609"/>
      <c r="N29" s="387" t="s">
        <v>6</v>
      </c>
      <c r="O29" s="387" t="s">
        <v>539</v>
      </c>
      <c r="P29" s="372" t="s">
        <v>541</v>
      </c>
      <c r="Q29" s="387" t="s">
        <v>540</v>
      </c>
    </row>
    <row r="30" spans="1:22" ht="25" customHeight="1" x14ac:dyDescent="0.55000000000000004">
      <c r="N30" s="387" t="s">
        <v>4</v>
      </c>
      <c r="O30" s="387" t="s">
        <v>542</v>
      </c>
      <c r="P30" s="372" t="s">
        <v>543</v>
      </c>
      <c r="Q30" s="387" t="s">
        <v>270</v>
      </c>
    </row>
    <row r="31" spans="1:22" ht="25" customHeight="1" x14ac:dyDescent="0.55000000000000004">
      <c r="N31" s="387" t="s">
        <v>8</v>
      </c>
      <c r="O31" s="387" t="s">
        <v>544</v>
      </c>
      <c r="P31" s="387" t="s">
        <v>546</v>
      </c>
      <c r="Q31" s="387" t="s">
        <v>545</v>
      </c>
    </row>
    <row r="32" spans="1:22" ht="25" customHeight="1" x14ac:dyDescent="0.55000000000000004">
      <c r="N32" s="387" t="s">
        <v>4</v>
      </c>
      <c r="O32" s="387" t="s">
        <v>547</v>
      </c>
      <c r="P32" s="387" t="s">
        <v>549</v>
      </c>
      <c r="Q32" s="387" t="s">
        <v>548</v>
      </c>
    </row>
    <row r="33" spans="14:17" ht="25" customHeight="1" x14ac:dyDescent="0.55000000000000004">
      <c r="N33" s="387" t="s">
        <v>8</v>
      </c>
      <c r="O33" s="387" t="s">
        <v>550</v>
      </c>
      <c r="P33" s="372" t="s">
        <v>552</v>
      </c>
      <c r="Q33" s="387" t="s">
        <v>551</v>
      </c>
    </row>
    <row r="34" spans="14:17" ht="25" customHeight="1" x14ac:dyDescent="0.55000000000000004">
      <c r="N34" s="387" t="s">
        <v>4</v>
      </c>
      <c r="O34" s="387" t="s">
        <v>553</v>
      </c>
      <c r="P34" s="387" t="s">
        <v>555</v>
      </c>
      <c r="Q34" s="387" t="s">
        <v>554</v>
      </c>
    </row>
    <row r="35" spans="14:17" ht="25" customHeight="1" x14ac:dyDescent="0.55000000000000004">
      <c r="N35" s="387" t="s">
        <v>4</v>
      </c>
      <c r="O35" s="387" t="s">
        <v>556</v>
      </c>
      <c r="P35" s="387" t="s">
        <v>558</v>
      </c>
      <c r="Q35" s="387" t="s">
        <v>557</v>
      </c>
    </row>
    <row r="36" spans="14:17" ht="25" customHeight="1" x14ac:dyDescent="0.55000000000000004">
      <c r="N36" s="387" t="s">
        <v>4</v>
      </c>
      <c r="O36" s="387" t="s">
        <v>559</v>
      </c>
      <c r="P36" s="387" t="s">
        <v>560</v>
      </c>
      <c r="Q36" s="387" t="s">
        <v>340</v>
      </c>
    </row>
    <row r="37" spans="14:17" ht="25" customHeight="1" x14ac:dyDescent="0.55000000000000004">
      <c r="N37" s="387" t="s">
        <v>8</v>
      </c>
      <c r="O37" s="387" t="s">
        <v>561</v>
      </c>
      <c r="P37" s="372" t="s">
        <v>563</v>
      </c>
      <c r="Q37" s="387" t="s">
        <v>562</v>
      </c>
    </row>
    <row r="38" spans="14:17" ht="25" customHeight="1" x14ac:dyDescent="0.55000000000000004">
      <c r="N38" s="387" t="s">
        <v>8</v>
      </c>
      <c r="O38" s="387" t="s">
        <v>564</v>
      </c>
      <c r="P38" s="387" t="s">
        <v>566</v>
      </c>
      <c r="Q38" s="387" t="s">
        <v>565</v>
      </c>
    </row>
    <row r="39" spans="14:17" ht="25" customHeight="1" x14ac:dyDescent="0.55000000000000004">
      <c r="N39" s="387" t="s">
        <v>4</v>
      </c>
      <c r="O39" s="387" t="s">
        <v>567</v>
      </c>
      <c r="P39" s="372" t="s">
        <v>569</v>
      </c>
      <c r="Q39" s="387" t="s">
        <v>568</v>
      </c>
    </row>
    <row r="40" spans="14:17" ht="25" customHeight="1" x14ac:dyDescent="0.55000000000000004">
      <c r="N40" s="387" t="s">
        <v>4</v>
      </c>
      <c r="O40" s="387" t="s">
        <v>570</v>
      </c>
      <c r="P40" s="387" t="s">
        <v>572</v>
      </c>
      <c r="Q40" s="387" t="s">
        <v>571</v>
      </c>
    </row>
    <row r="41" spans="14:17" ht="25" customHeight="1" x14ac:dyDescent="0.55000000000000004">
      <c r="N41" s="387" t="s">
        <v>6</v>
      </c>
      <c r="O41" s="387" t="s">
        <v>573</v>
      </c>
      <c r="P41" s="372" t="s">
        <v>575</v>
      </c>
      <c r="Q41" s="387" t="s">
        <v>574</v>
      </c>
    </row>
    <row r="42" spans="14:17" ht="25" customHeight="1" x14ac:dyDescent="0.55000000000000004">
      <c r="N42" s="387" t="s">
        <v>8</v>
      </c>
      <c r="O42" s="387" t="s">
        <v>576</v>
      </c>
      <c r="P42" s="387" t="s">
        <v>578</v>
      </c>
      <c r="Q42" s="387" t="s">
        <v>577</v>
      </c>
    </row>
    <row r="43" spans="14:17" ht="25" customHeight="1" x14ac:dyDescent="0.55000000000000004">
      <c r="N43" s="387" t="s">
        <v>4</v>
      </c>
      <c r="O43" s="387" t="s">
        <v>579</v>
      </c>
      <c r="P43" s="372" t="s">
        <v>580</v>
      </c>
      <c r="Q43" s="387" t="s">
        <v>394</v>
      </c>
    </row>
    <row r="44" spans="14:17" ht="25" customHeight="1" x14ac:dyDescent="0.55000000000000004">
      <c r="N44" s="387" t="s">
        <v>6</v>
      </c>
      <c r="O44" s="387" t="s">
        <v>581</v>
      </c>
      <c r="P44" s="387" t="s">
        <v>583</v>
      </c>
      <c r="Q44" s="387" t="s">
        <v>582</v>
      </c>
    </row>
    <row r="45" spans="14:17" ht="25" customHeight="1" x14ac:dyDescent="0.55000000000000004">
      <c r="N45" s="387"/>
      <c r="O45" s="387"/>
      <c r="P45" s="387"/>
      <c r="Q45" s="387"/>
    </row>
    <row r="46" spans="14:17" ht="25" customHeight="1" x14ac:dyDescent="0.55000000000000004">
      <c r="N46" s="387"/>
      <c r="O46" s="387"/>
      <c r="P46" s="387"/>
      <c r="Q46" s="387"/>
    </row>
    <row r="47" spans="14:17" ht="25" customHeight="1" x14ac:dyDescent="0.55000000000000004">
      <c r="N47" s="387"/>
      <c r="O47" s="387"/>
      <c r="P47" s="387"/>
      <c r="Q47" s="387"/>
    </row>
    <row r="48" spans="14:17" ht="25" customHeight="1" x14ac:dyDescent="0.55000000000000004">
      <c r="N48" s="387"/>
      <c r="O48" s="387"/>
      <c r="P48" s="387"/>
      <c r="Q48" s="387"/>
    </row>
    <row r="49" spans="14:17" ht="25" customHeight="1" x14ac:dyDescent="0.55000000000000004">
      <c r="N49" s="387"/>
      <c r="O49" s="387"/>
      <c r="P49" s="387"/>
      <c r="Q49" s="387"/>
    </row>
    <row r="50" spans="14:17" ht="25" customHeight="1" x14ac:dyDescent="0.55000000000000004">
      <c r="N50" s="387"/>
      <c r="O50" s="387"/>
      <c r="P50" s="387"/>
      <c r="Q50" s="387"/>
    </row>
    <row r="51" spans="14:17" ht="25" customHeight="1" x14ac:dyDescent="0.55000000000000004">
      <c r="N51" s="387"/>
      <c r="O51" s="387"/>
      <c r="P51" s="387"/>
      <c r="Q51" s="387"/>
    </row>
    <row r="52" spans="14:17" ht="25" customHeight="1" x14ac:dyDescent="0.55000000000000004">
      <c r="N52" s="387"/>
      <c r="O52" s="387"/>
      <c r="P52" s="387"/>
      <c r="Q52" s="387"/>
    </row>
    <row r="53" spans="14:17" ht="25" customHeight="1" x14ac:dyDescent="0.55000000000000004">
      <c r="N53" s="387"/>
      <c r="O53" s="387"/>
      <c r="P53" s="387"/>
      <c r="Q53" s="387"/>
    </row>
    <row r="54" spans="14:17" ht="25" customHeight="1" x14ac:dyDescent="0.55000000000000004">
      <c r="N54" s="387"/>
      <c r="O54" s="387"/>
      <c r="P54" s="387"/>
      <c r="Q54" s="387"/>
    </row>
    <row r="55" spans="14:17" ht="25" customHeight="1" x14ac:dyDescent="0.55000000000000004">
      <c r="N55" s="387"/>
      <c r="O55" s="387"/>
      <c r="P55" s="387"/>
      <c r="Q55" s="387"/>
    </row>
    <row r="56" spans="14:17" ht="25" customHeight="1" x14ac:dyDescent="0.55000000000000004">
      <c r="N56" s="387"/>
      <c r="O56" s="387"/>
      <c r="P56" s="387"/>
      <c r="Q56" s="387"/>
    </row>
    <row r="57" spans="14:17" ht="25" customHeight="1" x14ac:dyDescent="0.55000000000000004">
      <c r="N57" s="387"/>
      <c r="O57" s="387"/>
      <c r="P57" s="387"/>
      <c r="Q57" s="387"/>
    </row>
    <row r="58" spans="14:17" ht="25" customHeight="1" x14ac:dyDescent="0.55000000000000004">
      <c r="N58" s="387"/>
      <c r="O58" s="387"/>
      <c r="P58" s="387"/>
      <c r="Q58" s="387"/>
    </row>
    <row r="59" spans="14:17" ht="25" customHeight="1" x14ac:dyDescent="0.55000000000000004">
      <c r="N59" s="387"/>
      <c r="O59" s="387"/>
      <c r="P59" s="387"/>
      <c r="Q59" s="387"/>
    </row>
    <row r="60" spans="14:17" ht="25" customHeight="1" x14ac:dyDescent="0.55000000000000004">
      <c r="N60" s="387"/>
      <c r="O60" s="387"/>
      <c r="P60" s="387"/>
      <c r="Q60" s="387"/>
    </row>
    <row r="61" spans="14:17" ht="25" customHeight="1" x14ac:dyDescent="0.55000000000000004">
      <c r="N61" s="387"/>
      <c r="O61" s="387"/>
      <c r="P61" s="387"/>
      <c r="Q61" s="387"/>
    </row>
    <row r="62" spans="14:17" ht="25" customHeight="1" x14ac:dyDescent="0.55000000000000004">
      <c r="N62" s="387"/>
      <c r="O62" s="387"/>
      <c r="P62" s="387"/>
      <c r="Q62" s="387"/>
    </row>
    <row r="63" spans="14:17" ht="25" customHeight="1" x14ac:dyDescent="0.55000000000000004">
      <c r="N63" s="387"/>
      <c r="O63" s="387"/>
      <c r="P63" s="387"/>
      <c r="Q63" s="387"/>
    </row>
    <row r="64" spans="14:17" ht="25" customHeight="1" x14ac:dyDescent="0.55000000000000004"/>
    <row r="65" ht="25" customHeight="1" x14ac:dyDescent="0.55000000000000004"/>
    <row r="66" ht="25" customHeight="1" x14ac:dyDescent="0.55000000000000004"/>
    <row r="67" ht="25" customHeight="1" x14ac:dyDescent="0.55000000000000004"/>
    <row r="68" ht="25" customHeight="1" x14ac:dyDescent="0.55000000000000004"/>
    <row r="69" ht="25" customHeight="1" x14ac:dyDescent="0.55000000000000004"/>
  </sheetData>
  <sheetProtection algorithmName="SHA-512" hashValue="RkOoh5kLWuPgQqYXkzDIE79znJxi6AvUvDj6NgIUN+6PeCS9esnHUfVGpdQpohJAHDwLiNTRJLVi/bgkmBhQWw==" saltValue="PlAbr9VjtvQy8Wa5M6hRtw==" spinCount="100000" sheet="1" formatCells="0" formatColumns="0" formatRows="0" insertColumns="0" insertRows="0" sort="0" autoFilter="0"/>
  <sortState xmlns:xlrd2="http://schemas.microsoft.com/office/spreadsheetml/2017/richdata2" ref="H2:K50">
    <sortCondition ref="I2:I50"/>
  </sortState>
  <mergeCells count="33">
    <mergeCell ref="S11:V13"/>
    <mergeCell ref="S14:V16"/>
    <mergeCell ref="S6:V8"/>
    <mergeCell ref="R17:V19"/>
    <mergeCell ref="F28:G28"/>
    <mergeCell ref="H16:I16"/>
    <mergeCell ref="E8:G8"/>
    <mergeCell ref="F29:G29"/>
    <mergeCell ref="A18:D18"/>
    <mergeCell ref="B19:D19"/>
    <mergeCell ref="B20:D20"/>
    <mergeCell ref="B21:D21"/>
    <mergeCell ref="B22:D22"/>
    <mergeCell ref="A6:A7"/>
    <mergeCell ref="A11:A12"/>
    <mergeCell ref="B1:D1"/>
    <mergeCell ref="B2:D2"/>
    <mergeCell ref="B3:D3"/>
    <mergeCell ref="B16:D16"/>
    <mergeCell ref="A9:A10"/>
    <mergeCell ref="A13:A14"/>
    <mergeCell ref="E13:G13"/>
    <mergeCell ref="E14:G14"/>
    <mergeCell ref="E15:G15"/>
    <mergeCell ref="E9:G9"/>
    <mergeCell ref="E10:G10"/>
    <mergeCell ref="E11:G11"/>
    <mergeCell ref="E12:G12"/>
    <mergeCell ref="E1:G1"/>
    <mergeCell ref="E2:G2"/>
    <mergeCell ref="E3:G3"/>
    <mergeCell ref="E6:G6"/>
    <mergeCell ref="E7:G7"/>
  </mergeCells>
  <conditionalFormatting sqref="C6:C15">
    <cfRule type="notContainsBlanks" dxfId="895" priority="3">
      <formula>LEN(TRIM(C6))&gt;0</formula>
    </cfRule>
  </conditionalFormatting>
  <conditionalFormatting sqref="H16">
    <cfRule type="notContainsBlanks" dxfId="894" priority="2">
      <formula>LEN(TRIM(H16))&gt;0</formula>
    </cfRule>
  </conditionalFormatting>
  <dataValidations count="6">
    <dataValidation allowBlank="1" showInputMessage="1" sqref="E18:E19 H5:I5 E5:E15 E1:E3 C5" xr:uid="{3608C213-FA3C-4F22-936B-8F1409B8576F}"/>
    <dataValidation errorStyle="information" allowBlank="1" showInputMessage="1" error="This person is not in the Build Specs Contact List.  Please add them. " sqref="B16:B17" xr:uid="{9AE3F001-5812-48BA-8C47-AE34712FF323}"/>
    <dataValidation type="list" errorStyle="information" allowBlank="1" showInputMessage="1" error="This person is not in the Build Specs Contact List.  Please add them. " sqref="B6:B15 B1:B3 K1:L3" xr:uid="{DC369E99-4116-4A3F-9DA4-699AD1338C9B}">
      <formula1>$O$2:$O$63</formula1>
    </dataValidation>
    <dataValidation type="list" errorStyle="information" allowBlank="1" showInputMessage="1" error="This person is not in the Build Specs Contact List.  Please add them. " sqref="J6:J15" xr:uid="{89FB2A6C-77B3-446F-BD9B-3B47203D023A}">
      <formula1>$E$17:$E$25</formula1>
    </dataValidation>
    <dataValidation type="list" errorStyle="information" allowBlank="1" showInputMessage="1" error="This person is not in the Build Specs Contact List.  Please add them. " sqref="K6:L15" xr:uid="{BEDBE538-B47B-4BB0-BDF3-B45D213BB905}">
      <formula1>$F$17:$F$25</formula1>
    </dataValidation>
    <dataValidation type="list" errorStyle="information" allowBlank="1" showInputMessage="1" error="This person is not in the Build Specs Contact List.  Please add them. " sqref="I6:I15" xr:uid="{9A805C6A-48B1-46E3-809F-E439D47BB2A6}">
      <formula1>$G$18:$G$27</formula1>
    </dataValidation>
  </dataValidations>
  <hyperlinks>
    <hyperlink ref="P29" r:id="rId1" display="lynn.desjarlais@tutor.com" xr:uid="{C7CD73F9-FC9B-4CA2-9D31-19E224C07FA6}"/>
    <hyperlink ref="P17" r:id="rId2" display="jeffrey.lopez@tutor.com" xr:uid="{2C13FC9B-6ACD-4120-BF89-39A87F52ECD0}"/>
    <hyperlink ref="P21" r:id="rId3" display="joann.balsamo@tutor.com" xr:uid="{598A5116-1F8E-4C09-A9D3-768CCC3B6D5F}"/>
    <hyperlink ref="P41" r:id="rId4" display="steven.ramos@review.com" xr:uid="{9DCA1D8A-1448-40DD-AF23-ED3A2D851531}"/>
    <hyperlink ref="P43" r:id="rId5" display="tawana.collins@tutor.com" xr:uid="{42239174-2C04-4726-9862-CC7A8909A7F3}"/>
    <hyperlink ref="P28" r:id="rId6" display="kelsey.lantz@review.com" xr:uid="{DEB1A31D-2657-4999-A16A-20A6E78800FC}"/>
    <hyperlink ref="P18" r:id="rId7" display="jennifer.morriss@tutor.com" xr:uid="{0E37D623-629E-4833-9BDA-22A91DB29585}"/>
    <hyperlink ref="P30" r:id="rId8" display="marcy.melanson@tutor.com" xr:uid="{A61BF3A9-C672-4C5A-99AE-332916728AED}"/>
    <hyperlink ref="P25" r:id="rId9" display="karen.murphree@tutor.com" xr:uid="{B3D563CA-F2E0-40F2-A188-D94B4B43F199}"/>
    <hyperlink ref="P39" r:id="rId10" display="shenille.melton@tutor.com" xr:uid="{B073E13A-D6BD-4ED3-BD60-367670602441}"/>
    <hyperlink ref="P37" r:id="rId11" display="scott.spencer@review.com" xr:uid="{BAFF8D37-37FD-4BCA-AD94-8AD1A9AEAB72}"/>
    <hyperlink ref="P20" r:id="rId12" display="jim.barnes@tutor.com" xr:uid="{C7B4648C-A9A7-41E3-8FAE-B27A9671A9BA}"/>
    <hyperlink ref="P6" r:id="rId13" display="cindy.hewitt@tutor.com" xr:uid="{C3F4EA00-F873-45AA-B625-00E9496ABF87}"/>
    <hyperlink ref="P33" r:id="rId14" display="michael.leaser@tutor.com" xr:uid="{833F9AC8-7884-4008-9572-30E207C107B1}"/>
    <hyperlink ref="P27" r:id="rId15" display="keisha.hellon@review.com" xr:uid="{83609EF9-8594-4F97-8310-E43F3A06EAEB}"/>
    <hyperlink ref="P10" r:id="rId16" display="dana.moore@tutor.com" xr:uid="{DB9B1B88-2D4A-4157-99DE-F14FC6FCB746}"/>
    <hyperlink ref="P2" r:id="rId17" display="anna.richmond@tutor.com" xr:uid="{74E1FBF9-F9F5-4322-8CDF-C0AEA48678F2}"/>
    <hyperlink ref="P3" r:id="rId18" display="ashlenn.wellbrock@tutor.com" xr:uid="{F9B69AC8-8183-45C9-8974-24507F19F540}"/>
    <hyperlink ref="P4" r:id="rId19" display="brady.boswell@tutor.com" xr:uid="{8073497D-A55A-481D-9EEB-79F6391B45B9}"/>
  </hyperlinks>
  <pageMargins left="0.7" right="0.7" top="0.75" bottom="0.75" header="0.3" footer="0.3"/>
  <pageSetup scale="77" orientation="portrait" r:id="rId20"/>
  <drawing r:id="rId21"/>
  <legacyDrawing r:id="rId22"/>
  <mc:AlternateContent xmlns:mc="http://schemas.openxmlformats.org/markup-compatibility/2006">
    <mc:Choice Requires="x14">
      <controls>
        <mc:AlternateContent xmlns:mc="http://schemas.openxmlformats.org/markup-compatibility/2006">
          <mc:Choice Requires="x14">
            <control shapeId="5158" r:id="rId23" name="Group Box 38">
              <controlPr defaultSize="0" autoFill="0" autoPict="0">
                <anchor moveWithCells="1">
                  <from>
                    <xdr:col>3</xdr:col>
                    <xdr:colOff>0</xdr:colOff>
                    <xdr:row>5</xdr:row>
                    <xdr:rowOff>0</xdr:rowOff>
                  </from>
                  <to>
                    <xdr:col>4</xdr:col>
                    <xdr:colOff>0</xdr:colOff>
                    <xdr:row>15</xdr:row>
                    <xdr:rowOff>0</xdr:rowOff>
                  </to>
                </anchor>
              </controlPr>
            </control>
          </mc:Choice>
        </mc:AlternateContent>
        <mc:AlternateContent xmlns:mc="http://schemas.openxmlformats.org/markup-compatibility/2006">
          <mc:Choice Requires="x14">
            <control shapeId="5159" r:id="rId24" name="Option Button 39">
              <controlPr defaultSize="0" autoFill="0" autoLine="0" autoPict="0">
                <anchor moveWithCells="1">
                  <from>
                    <xdr:col>3</xdr:col>
                    <xdr:colOff>76200</xdr:colOff>
                    <xdr:row>5</xdr:row>
                    <xdr:rowOff>57150</xdr:rowOff>
                  </from>
                  <to>
                    <xdr:col>3</xdr:col>
                    <xdr:colOff>361950</xdr:colOff>
                    <xdr:row>5</xdr:row>
                    <xdr:rowOff>259080</xdr:rowOff>
                  </to>
                </anchor>
              </controlPr>
            </control>
          </mc:Choice>
        </mc:AlternateContent>
        <mc:AlternateContent xmlns:mc="http://schemas.openxmlformats.org/markup-compatibility/2006">
          <mc:Choice Requires="x14">
            <control shapeId="5160" r:id="rId25" name="Option Button 40">
              <controlPr defaultSize="0" autoFill="0" autoLine="0" autoPict="0">
                <anchor moveWithCells="1">
                  <from>
                    <xdr:col>3</xdr:col>
                    <xdr:colOff>76200</xdr:colOff>
                    <xdr:row>6</xdr:row>
                    <xdr:rowOff>57150</xdr:rowOff>
                  </from>
                  <to>
                    <xdr:col>3</xdr:col>
                    <xdr:colOff>361950</xdr:colOff>
                    <xdr:row>6</xdr:row>
                    <xdr:rowOff>259080</xdr:rowOff>
                  </to>
                </anchor>
              </controlPr>
            </control>
          </mc:Choice>
        </mc:AlternateContent>
        <mc:AlternateContent xmlns:mc="http://schemas.openxmlformats.org/markup-compatibility/2006">
          <mc:Choice Requires="x14">
            <control shapeId="5161" r:id="rId26" name="Option Button 41">
              <controlPr defaultSize="0" autoFill="0" autoLine="0" autoPict="0">
                <anchor moveWithCells="1">
                  <from>
                    <xdr:col>3</xdr:col>
                    <xdr:colOff>76200</xdr:colOff>
                    <xdr:row>7</xdr:row>
                    <xdr:rowOff>57150</xdr:rowOff>
                  </from>
                  <to>
                    <xdr:col>3</xdr:col>
                    <xdr:colOff>361950</xdr:colOff>
                    <xdr:row>7</xdr:row>
                    <xdr:rowOff>259080</xdr:rowOff>
                  </to>
                </anchor>
              </controlPr>
            </control>
          </mc:Choice>
        </mc:AlternateContent>
        <mc:AlternateContent xmlns:mc="http://schemas.openxmlformats.org/markup-compatibility/2006">
          <mc:Choice Requires="x14">
            <control shapeId="5162" r:id="rId27" name="Option Button 42">
              <controlPr defaultSize="0" autoFill="0" autoLine="0" autoPict="0">
                <anchor moveWithCells="1">
                  <from>
                    <xdr:col>3</xdr:col>
                    <xdr:colOff>76200</xdr:colOff>
                    <xdr:row>8</xdr:row>
                    <xdr:rowOff>57150</xdr:rowOff>
                  </from>
                  <to>
                    <xdr:col>3</xdr:col>
                    <xdr:colOff>361950</xdr:colOff>
                    <xdr:row>8</xdr:row>
                    <xdr:rowOff>259080</xdr:rowOff>
                  </to>
                </anchor>
              </controlPr>
            </control>
          </mc:Choice>
        </mc:AlternateContent>
        <mc:AlternateContent xmlns:mc="http://schemas.openxmlformats.org/markup-compatibility/2006">
          <mc:Choice Requires="x14">
            <control shapeId="5163" r:id="rId28" name="Option Button 43">
              <controlPr defaultSize="0" autoFill="0" autoLine="0" autoPict="0">
                <anchor moveWithCells="1">
                  <from>
                    <xdr:col>3</xdr:col>
                    <xdr:colOff>76200</xdr:colOff>
                    <xdr:row>9</xdr:row>
                    <xdr:rowOff>57150</xdr:rowOff>
                  </from>
                  <to>
                    <xdr:col>3</xdr:col>
                    <xdr:colOff>361950</xdr:colOff>
                    <xdr:row>9</xdr:row>
                    <xdr:rowOff>259080</xdr:rowOff>
                  </to>
                </anchor>
              </controlPr>
            </control>
          </mc:Choice>
        </mc:AlternateContent>
        <mc:AlternateContent xmlns:mc="http://schemas.openxmlformats.org/markup-compatibility/2006">
          <mc:Choice Requires="x14">
            <control shapeId="5164" r:id="rId29" name="Option Button 44">
              <controlPr defaultSize="0" autoFill="0" autoLine="0" autoPict="0">
                <anchor moveWithCells="1">
                  <from>
                    <xdr:col>3</xdr:col>
                    <xdr:colOff>76200</xdr:colOff>
                    <xdr:row>10</xdr:row>
                    <xdr:rowOff>68580</xdr:rowOff>
                  </from>
                  <to>
                    <xdr:col>3</xdr:col>
                    <xdr:colOff>361950</xdr:colOff>
                    <xdr:row>10</xdr:row>
                    <xdr:rowOff>266700</xdr:rowOff>
                  </to>
                </anchor>
              </controlPr>
            </control>
          </mc:Choice>
        </mc:AlternateContent>
        <mc:AlternateContent xmlns:mc="http://schemas.openxmlformats.org/markup-compatibility/2006">
          <mc:Choice Requires="x14">
            <control shapeId="5165" r:id="rId30" name="Option Button 45">
              <controlPr defaultSize="0" autoFill="0" autoLine="0" autoPict="0">
                <anchor moveWithCells="1">
                  <from>
                    <xdr:col>3</xdr:col>
                    <xdr:colOff>76200</xdr:colOff>
                    <xdr:row>11</xdr:row>
                    <xdr:rowOff>68580</xdr:rowOff>
                  </from>
                  <to>
                    <xdr:col>3</xdr:col>
                    <xdr:colOff>361950</xdr:colOff>
                    <xdr:row>11</xdr:row>
                    <xdr:rowOff>266700</xdr:rowOff>
                  </to>
                </anchor>
              </controlPr>
            </control>
          </mc:Choice>
        </mc:AlternateContent>
        <mc:AlternateContent xmlns:mc="http://schemas.openxmlformats.org/markup-compatibility/2006">
          <mc:Choice Requires="x14">
            <control shapeId="5166" r:id="rId31" name="Option Button 46">
              <controlPr defaultSize="0" autoFill="0" autoLine="0" autoPict="0">
                <anchor moveWithCells="1">
                  <from>
                    <xdr:col>3</xdr:col>
                    <xdr:colOff>76200</xdr:colOff>
                    <xdr:row>12</xdr:row>
                    <xdr:rowOff>68580</xdr:rowOff>
                  </from>
                  <to>
                    <xdr:col>3</xdr:col>
                    <xdr:colOff>361950</xdr:colOff>
                    <xdr:row>12</xdr:row>
                    <xdr:rowOff>266700</xdr:rowOff>
                  </to>
                </anchor>
              </controlPr>
            </control>
          </mc:Choice>
        </mc:AlternateContent>
        <mc:AlternateContent xmlns:mc="http://schemas.openxmlformats.org/markup-compatibility/2006">
          <mc:Choice Requires="x14">
            <control shapeId="5167" r:id="rId32" name="Option Button 47">
              <controlPr defaultSize="0" autoFill="0" autoLine="0" autoPict="0">
                <anchor moveWithCells="1">
                  <from>
                    <xdr:col>3</xdr:col>
                    <xdr:colOff>76200</xdr:colOff>
                    <xdr:row>13</xdr:row>
                    <xdr:rowOff>68580</xdr:rowOff>
                  </from>
                  <to>
                    <xdr:col>3</xdr:col>
                    <xdr:colOff>361950</xdr:colOff>
                    <xdr:row>13</xdr:row>
                    <xdr:rowOff>266700</xdr:rowOff>
                  </to>
                </anchor>
              </controlPr>
            </control>
          </mc:Choice>
        </mc:AlternateContent>
        <mc:AlternateContent xmlns:mc="http://schemas.openxmlformats.org/markup-compatibility/2006">
          <mc:Choice Requires="x14">
            <control shapeId="5168" r:id="rId33" name="Option Button 48">
              <controlPr defaultSize="0" autoFill="0" autoLine="0" autoPict="0">
                <anchor moveWithCells="1">
                  <from>
                    <xdr:col>3</xdr:col>
                    <xdr:colOff>76200</xdr:colOff>
                    <xdr:row>14</xdr:row>
                    <xdr:rowOff>68580</xdr:rowOff>
                  </from>
                  <to>
                    <xdr:col>3</xdr:col>
                    <xdr:colOff>361950</xdr:colOff>
                    <xdr:row>14</xdr:row>
                    <xdr:rowOff>266700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387A4597-45EA-4FDC-9492-C5F28E07B55A}">
          <x14:formula1>
            <xm:f>'Drop Down Lists'!$AX$35:$AX$36</xm:f>
          </x14:formula1>
          <xm:sqref>H16</xm:sqref>
        </x14:dataValidation>
        <x14:dataValidation type="list" allowBlank="1" showInputMessage="1" showErrorMessage="1" xr:uid="{7E429FC7-5C13-4555-9831-435BA9795896}">
          <x14:formula1>
            <xm:f>'Drop Down Lists'!$AX$27:$AX$30</xm:f>
          </x14:formula1>
          <xm:sqref>C6:C15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C6C59-F16C-4F2A-82DC-C52B6D1D34C3}">
  <sheetPr codeName="Sheet2">
    <tabColor rgb="FFC00000"/>
    <pageSetUpPr fitToPage="1"/>
  </sheetPr>
  <dimension ref="A1:P2095"/>
  <sheetViews>
    <sheetView tabSelected="1" zoomScale="80" zoomScaleNormal="80" workbookViewId="0">
      <selection activeCell="C20" sqref="C20"/>
    </sheetView>
  </sheetViews>
  <sheetFormatPr defaultColWidth="9.15625" defaultRowHeight="21.3" x14ac:dyDescent="0.55000000000000004"/>
  <cols>
    <col min="1" max="1" width="31.41796875" style="7" customWidth="1"/>
    <col min="2" max="2" width="6.83984375" style="1" customWidth="1"/>
    <col min="3" max="5" width="24.68359375" style="3" customWidth="1"/>
    <col min="6" max="6" width="26.26171875" style="3" customWidth="1"/>
    <col min="7" max="7" width="24.68359375" style="3" customWidth="1"/>
    <col min="8" max="8" width="29.15625" style="3" customWidth="1"/>
    <col min="9" max="9" width="25.68359375" style="3" customWidth="1"/>
    <col min="10" max="10" width="24.68359375" style="3" customWidth="1"/>
    <col min="11" max="11" width="6" style="266" customWidth="1"/>
    <col min="12" max="12" width="55.83984375" style="7" bestFit="1" customWidth="1"/>
    <col min="13" max="13" width="45.26171875" style="7" customWidth="1"/>
    <col min="14" max="14" width="75.68359375" style="1" customWidth="1"/>
    <col min="15" max="16" width="9.15625" style="263"/>
    <col min="17" max="16384" width="9.15625" style="1"/>
  </cols>
  <sheetData>
    <row r="1" spans="1:16" s="7" customFormat="1" ht="20.100000000000001" customHeight="1" x14ac:dyDescent="0.4">
      <c r="A1" s="698" t="str" cm="1">
        <f t="array" aca="1" ref="A1" ca="1">IF($C$8="","Client Build Specs",_xlfn.IFS($C$27=0,$C$8,$C$27="n/a",$C$8,$C$27&gt;0,IFERROR(_xlfn.CONCAT(""&amp;(C8)&amp;IF(C27&lt;&gt;""," - "&amp;($C$27),"")&amp;IF(H2&lt;&gt;""," - "&amp;(H2)&amp;"")),"c8")))</f>
        <v>INTEGRATION_AUTO_SHEET - 2026 - New Build</v>
      </c>
      <c r="B1" s="699"/>
      <c r="C1" s="699"/>
      <c r="D1" s="699"/>
      <c r="E1" s="699"/>
      <c r="F1" s="699"/>
      <c r="G1" s="164" t="s">
        <v>15</v>
      </c>
      <c r="H1" s="95" t="s">
        <v>645</v>
      </c>
      <c r="I1" s="164" t="s">
        <v>16</v>
      </c>
      <c r="J1" s="95" t="s">
        <v>585</v>
      </c>
      <c r="K1" s="266"/>
      <c r="M1" s="234" t="str">
        <f>IF(OR($L$2='Drop Down Lists'!$AV$20,$L$2='Drop Down Lists'!$AV$21,$L$2='Drop Down Lists'!$AV$22,$L$2='Drop Down Lists'!$AV$24,$L$2='Drop Down Lists'!$AV$23),"Pick Follow Up Date &amp; Reason from Drop-Down Lists ⬇️⬇️","")</f>
        <v/>
      </c>
      <c r="N1" s="232"/>
      <c r="O1" s="262"/>
      <c r="P1" s="262"/>
    </row>
    <row r="2" spans="1:16" ht="20.100000000000001" customHeight="1" x14ac:dyDescent="0.55000000000000004">
      <c r="A2" s="707" t="s">
        <v>17</v>
      </c>
      <c r="B2" s="708"/>
      <c r="C2" s="668" t="s">
        <v>919</v>
      </c>
      <c r="D2" s="669"/>
      <c r="E2" s="669"/>
      <c r="F2" s="670"/>
      <c r="G2" s="597" t="s">
        <v>18</v>
      </c>
      <c r="H2" s="722" t="s">
        <v>317</v>
      </c>
      <c r="I2" s="723"/>
      <c r="J2" s="724"/>
      <c r="L2" s="794" t="str">
        <f>IFERROR(VLOOKUP($I$2,'Drop Down Lists'!$AU$20:$AW$24,2,FALSE),IF(AND(I2="",I4&lt;&gt;""),'Drop Down Lists'!$AV$24,""))</f>
        <v/>
      </c>
      <c r="M2" s="233"/>
      <c r="N2" s="133" t="str">
        <f ca="1">_xlfn.CONCAT(""&amp;(TEXT(TODAY()+7,"YYYY-MM-DD"))&amp;" - 1 Week")</f>
        <v>2026-03-05 - 1 Week</v>
      </c>
    </row>
    <row r="3" spans="1:16" ht="18.75" customHeight="1" x14ac:dyDescent="0.55000000000000004">
      <c r="A3" s="707" t="s">
        <v>19</v>
      </c>
      <c r="B3" s="708"/>
      <c r="C3" s="671" t="s">
        <v>919</v>
      </c>
      <c r="D3" s="672"/>
      <c r="E3" s="672"/>
      <c r="F3" s="673"/>
      <c r="G3" s="598" t="s">
        <v>20</v>
      </c>
      <c r="H3" s="725" t="s">
        <v>919</v>
      </c>
      <c r="I3" s="726"/>
      <c r="J3" s="727"/>
      <c r="K3" s="267"/>
      <c r="L3" s="794"/>
      <c r="M3" s="233"/>
      <c r="N3" s="130" t="str">
        <f ca="1">_xlfn.CONCAT(""&amp;(TEXT(TODAY()+14,"YYYY-MM-DD"))&amp;" - 2 Weeks")</f>
        <v>2026-03-12 - 2 Weeks</v>
      </c>
    </row>
    <row r="4" spans="1:16" ht="18.75" customHeight="1" x14ac:dyDescent="0.55000000000000004">
      <c r="A4" s="707" t="s">
        <v>646</v>
      </c>
      <c r="B4" s="708"/>
      <c r="C4" s="671" t="s">
        <v>919</v>
      </c>
      <c r="D4" s="672"/>
      <c r="E4" s="672"/>
      <c r="F4" s="673"/>
      <c r="G4" s="598" t="str">
        <f>IF(OR($I$2="Ticket",$I$2="GENINTEGRATION 31 Migration",$J$14&lt;&gt;"",$J$14&lt;&gt;"n/a"),"JLB Ticket Link:", "")</f>
        <v>JLB Ticket Link:</v>
      </c>
      <c r="H4" s="728"/>
      <c r="I4" s="729"/>
      <c r="J4" s="730"/>
      <c r="L4" s="235" t="e" cm="1">
        <f t="array" ref="L4">_xlfn.IFS(OR($L$2='Drop Down Lists'!$AV$20:$AV$24),_xlfn.CONCAT("Additional Notes / Comments to be included:"&amp;"",""))</f>
        <v>#N/A</v>
      </c>
      <c r="M4" s="237"/>
      <c r="N4" s="130" t="str">
        <f ca="1">_xlfn.CONCAT(""&amp;(TEXT(TODAY()+21,"YYYY-MM-DD"))&amp;" - 3 Weeks")</f>
        <v>2026-03-19 - 3 Weeks</v>
      </c>
    </row>
    <row r="5" spans="1:16" ht="20.100000000000001" customHeight="1" x14ac:dyDescent="0.55000000000000004">
      <c r="A5" s="702" t="str">
        <f>IF($H$2&lt;&gt;"New Build","CRM  Account Link", "CRM  Opportunity Link")</f>
        <v>CRM  Opportunity Link</v>
      </c>
      <c r="B5" s="703"/>
      <c r="C5" s="783" t="s">
        <v>919</v>
      </c>
      <c r="D5" s="784"/>
      <c r="E5" s="784"/>
      <c r="F5" s="785"/>
      <c r="G5" s="601" t="s">
        <v>893</v>
      </c>
      <c r="H5" s="728"/>
      <c r="I5" s="729"/>
      <c r="J5" s="730"/>
      <c r="L5" s="791" t="str">
        <f>IFERROR(VLOOKUP($L$2,'Drop Down Lists'!$AV$20:$AW$24,2,FALSE),"")</f>
        <v/>
      </c>
      <c r="M5" s="791"/>
      <c r="N5" s="213" t="str">
        <f ca="1">_xlfn.CONCAT(""&amp;(TEXT(TODAY()+30,"YYYY-MM-DD"))&amp;" - 30 Days")</f>
        <v>2026-03-28 - 30 Days</v>
      </c>
    </row>
    <row r="6" spans="1:16" ht="20.100000000000001" customHeight="1" x14ac:dyDescent="0.55000000000000004">
      <c r="A6" s="707" t="str">
        <f>IF($H$2&lt;&gt;"New Build","DOC1 Link", "DOC1 Transfer Form Link")</f>
        <v>DOC1 Transfer Form Link</v>
      </c>
      <c r="B6" s="708"/>
      <c r="C6" s="786" t="s">
        <v>919</v>
      </c>
      <c r="D6" s="787"/>
      <c r="E6" s="787"/>
      <c r="F6" s="788"/>
      <c r="G6" s="602" t="s">
        <v>716</v>
      </c>
      <c r="H6" s="665"/>
      <c r="I6" s="666"/>
      <c r="J6" s="667"/>
      <c r="L6" s="791"/>
      <c r="M6" s="791"/>
      <c r="N6" s="213" t="str">
        <f ca="1">_xlfn.CONCAT(""&amp;(TEXT(TODAY()+60,"YYYY-MM-DD"))&amp;" - 60 Days")</f>
        <v>2026-04-27 - 60 Days</v>
      </c>
    </row>
    <row r="7" spans="1:16" s="7" customFormat="1" ht="5.0999999999999996" customHeight="1" x14ac:dyDescent="0.55000000000000004">
      <c r="A7" s="704"/>
      <c r="B7" s="705"/>
      <c r="C7" s="705"/>
      <c r="D7" s="705"/>
      <c r="E7" s="705"/>
      <c r="F7" s="705"/>
      <c r="G7" s="705"/>
      <c r="H7" s="705"/>
      <c r="I7" s="705"/>
      <c r="J7" s="706"/>
      <c r="K7" s="266"/>
      <c r="L7" s="791"/>
      <c r="M7" s="791"/>
      <c r="N7" s="213" t="str">
        <f ca="1">_xlfn.CONCAT(""&amp;(TEXT(TODAY()+90,"YYYY-MM-DD"))&amp;" - 90 Days")</f>
        <v>2026-05-27 - 90 Days</v>
      </c>
    </row>
    <row r="8" spans="1:16" ht="19.5" customHeight="1" x14ac:dyDescent="0.55000000000000004">
      <c r="A8" s="795" t="s">
        <v>21</v>
      </c>
      <c r="B8" s="796"/>
      <c r="C8" s="720" t="str" cm="1">
        <f t="array" aca="1" ref="C8" ca="1">LEFT(MID(CELL("filename"),SEARCH("[",CELL("filename"))+1, SEARCH("]",CELL("filename"))-SEARCH("[",CELL("filename"))-1),LEN(MID(CELL("filename"),SEARCH("[",CELL("filename"))+1, SEARCH("]",CELL("filename"))-SEARCH("[",CELL("filename"))-1))-17)</f>
        <v>INTEGRATION_AUTO_SHEET</v>
      </c>
      <c r="D8" s="721"/>
      <c r="E8" s="721"/>
      <c r="F8" s="721"/>
      <c r="G8" s="326" t="s">
        <v>449</v>
      </c>
      <c r="H8" s="327" t="s">
        <v>641</v>
      </c>
      <c r="I8" s="326" t="s">
        <v>31</v>
      </c>
      <c r="J8" s="328" t="s">
        <v>699</v>
      </c>
      <c r="L8" s="791"/>
      <c r="M8" s="791"/>
      <c r="N8" s="213" t="s">
        <v>22</v>
      </c>
    </row>
    <row r="9" spans="1:16" ht="20.100000000000001" customHeight="1" x14ac:dyDescent="0.55000000000000004">
      <c r="A9" s="700" t="s">
        <v>632</v>
      </c>
      <c r="B9" s="701"/>
      <c r="C9" s="715" t="s">
        <v>1010</v>
      </c>
      <c r="D9" s="716"/>
      <c r="E9" s="716"/>
      <c r="F9" s="716"/>
      <c r="G9" s="329" t="s">
        <v>52</v>
      </c>
      <c r="H9" s="330" t="s">
        <v>931</v>
      </c>
      <c r="I9" s="331" t="s">
        <v>450</v>
      </c>
      <c r="J9" s="332"/>
      <c r="L9" s="791"/>
      <c r="M9" s="791"/>
      <c r="N9" s="236"/>
    </row>
    <row r="10" spans="1:16" s="7" customFormat="1" ht="20.100000000000001" customHeight="1" x14ac:dyDescent="0.55000000000000004">
      <c r="A10" s="799" t="s">
        <v>647</v>
      </c>
      <c r="B10" s="799"/>
      <c r="C10" s="713" t="s">
        <v>1011</v>
      </c>
      <c r="D10" s="714"/>
      <c r="E10" s="333" t="s">
        <v>23</v>
      </c>
      <c r="F10" s="801" t="str">
        <f>TRIM(IFERROR(IF(C10&lt;&gt;"", _xlfn.TEXTBEFORE(C10, "("), ""), C10))</f>
        <v>DEMO</v>
      </c>
      <c r="G10" s="801"/>
      <c r="H10" s="334" t="s">
        <v>24</v>
      </c>
      <c r="I10" s="335" t="s">
        <v>25</v>
      </c>
      <c r="J10" s="336" t="str">
        <f>TRIM(IFERROR(IF(AND(C10&lt;&gt;"",F10&lt;&gt;""),"0.0.0.0:255.255.255.255",""),""))</f>
        <v>0.0.0.0:255.255.255.255</v>
      </c>
      <c r="K10" s="266"/>
      <c r="L10" s="791"/>
      <c r="M10" s="791"/>
      <c r="N10" s="213"/>
    </row>
    <row r="11" spans="1:16" ht="20.100000000000001" customHeight="1" x14ac:dyDescent="0.55000000000000004">
      <c r="A11" s="700" t="str">
        <f ca="1">HYPERLINK(_xlfn.CONCAT("https://www.google.com/search?q="&amp;(SUBSTITUTE($C$8," ","+"))&amp;"+Address"),"State")</f>
        <v>State</v>
      </c>
      <c r="B11" s="701"/>
      <c r="C11" s="715" t="s">
        <v>1012</v>
      </c>
      <c r="D11" s="716"/>
      <c r="E11" s="605" t="str">
        <f ca="1">HYPERLINK(_xlfn.CONCAT("https://www.google.com/search?q="&amp;(SUBSTITUTE($C$8," ","+"))&amp;"+Address"),"Zip Code:")</f>
        <v>Zip Code:</v>
      </c>
      <c r="F11" s="800"/>
      <c r="G11" s="800"/>
      <c r="H11" s="337"/>
      <c r="I11" s="338"/>
      <c r="J11" s="339"/>
      <c r="L11" s="791"/>
      <c r="M11" s="791"/>
      <c r="N11" s="3"/>
    </row>
    <row r="12" spans="1:16" ht="20.100000000000001" customHeight="1" x14ac:dyDescent="0.55000000000000004">
      <c r="A12" s="700" t="str">
        <f>HYPERLINK(_xlfn.CONCAT("https://www.google.com/search?q="&amp;(SUBSTITUTE($C$9," ","+"))&amp;"+Address"),"Client Homepage URL")</f>
        <v>Client Homepage URL</v>
      </c>
      <c r="B12" s="701"/>
      <c r="C12" s="717" t="s">
        <v>919</v>
      </c>
      <c r="D12" s="718"/>
      <c r="E12" s="340" t="str">
        <f>IFERROR(IF($C$32="","AUTO /PUBLIC/:",$A$32),"/PUBLIC/")</f>
        <v>AUTO /PUBLIC/:</v>
      </c>
      <c r="F12" s="712" t="str">
        <f>TRIM(
    IFERROR(
        IF($C$32&lt;&gt;"",
            IF(AND(LEFT($C$32,1)="/",RIGHT($C$32,1)="/"),
                $C$32,
                "/" &amp; TRIM($C$32) &amp; "/"
            ),
            IF(ISNUMBER(SEARCH("www.",$C$12)),
                "/" &amp; _xlfn.TEXTBEFORE(_xlfn.TEXTAFTER($C$12,"www."),".") &amp; "/",
                "/" &amp; _xlfn.TEXTBEFORE(_xlfn.TEXTAFTER($C$12,"https://"),".") &amp; "/"
            )
        ),
    "")
)</f>
        <v>/linkedin/</v>
      </c>
      <c r="G12" s="712"/>
      <c r="H12" s="709" t="s">
        <v>751</v>
      </c>
      <c r="I12" s="710"/>
      <c r="J12" s="711"/>
      <c r="L12" s="791"/>
      <c r="M12" s="791"/>
      <c r="N12" s="3"/>
    </row>
    <row r="13" spans="1:16" ht="20.100000000000001" customHeight="1" x14ac:dyDescent="0.55000000000000004">
      <c r="A13" s="700" t="s">
        <v>26</v>
      </c>
      <c r="B13" s="701"/>
      <c r="C13" s="715" t="s">
        <v>282</v>
      </c>
      <c r="D13" s="719"/>
      <c r="E13" s="341"/>
      <c r="F13" s="341"/>
      <c r="G13" s="341"/>
      <c r="H13" s="341"/>
      <c r="I13" s="341"/>
      <c r="J13" s="342"/>
      <c r="L13" s="791"/>
      <c r="M13" s="791"/>
      <c r="N13" s="3"/>
    </row>
    <row r="14" spans="1:16" ht="20.100000000000001" customHeight="1" x14ac:dyDescent="0.55000000000000004">
      <c r="A14" s="904" t="s">
        <v>28</v>
      </c>
      <c r="B14" s="905"/>
      <c r="C14" s="906" t="s">
        <v>855</v>
      </c>
      <c r="D14" s="907"/>
      <c r="E14" s="343" t="s">
        <v>29</v>
      </c>
      <c r="F14" s="344"/>
      <c r="G14" s="343" t="s">
        <v>30</v>
      </c>
      <c r="H14" s="344"/>
      <c r="I14" s="341"/>
      <c r="J14" s="342"/>
      <c r="L14" s="791"/>
      <c r="M14" s="791"/>
      <c r="N14" s="3"/>
    </row>
    <row r="15" spans="1:16" ht="20.100000000000001" customHeight="1" x14ac:dyDescent="0.55000000000000004">
      <c r="A15" s="75" t="s">
        <v>836</v>
      </c>
      <c r="B15" s="8"/>
      <c r="C15" s="9"/>
      <c r="D15" s="9"/>
      <c r="E15" s="9"/>
      <c r="F15" s="9"/>
      <c r="G15" s="9"/>
      <c r="H15" s="9"/>
      <c r="I15" s="9"/>
      <c r="J15" s="10"/>
      <c r="L15" s="789" t="b" cm="1">
        <f t="array" ref="L15">_xlfn.IFS(OR($L$2='Drop Down Lists'!$AV$20:$AV$23),_xlfn.CONCAT("⬆️⬆️ Copy this note into you Outlook Calendar as a follow up reminder!")&amp;IF(AND(I4&lt;&gt;"",L$16='Drop Down Lists'!$AV$24),_xlfn.CONCAT("   📢 A simplified note is included below for JLB ⬇️⬇️"),""),TRUE,IF($L$2='Drop Down Lists'!$AV$24,"⬆️⬆️ Copy this note into your JLB Ticket"),"","")</f>
        <v>0</v>
      </c>
      <c r="M15" s="790"/>
      <c r="N15" s="3"/>
    </row>
    <row r="16" spans="1:16" ht="20.100000000000001" customHeight="1" x14ac:dyDescent="0.55000000000000004">
      <c r="A16" s="771" t="s">
        <v>32</v>
      </c>
      <c r="B16" s="772"/>
      <c r="C16" s="285" t="s">
        <v>33</v>
      </c>
      <c r="D16" s="287">
        <v>46023</v>
      </c>
      <c r="E16" s="286" t="s">
        <v>34</v>
      </c>
      <c r="F16" s="287">
        <v>46387</v>
      </c>
      <c r="G16" s="288" t="s">
        <v>35</v>
      </c>
      <c r="H16" s="289">
        <v>46081</v>
      </c>
      <c r="I16" s="324"/>
      <c r="J16" s="325"/>
      <c r="L16" s="792" t="str">
        <f>IF(AND($I$2&lt;&gt;"", $I$4&lt;&gt;""),'Drop Down Lists'!$AV$24,"")</f>
        <v/>
      </c>
      <c r="M16" s="792"/>
    </row>
    <row r="17" spans="1:14" ht="20.100000000000001" customHeight="1" x14ac:dyDescent="0.55000000000000004">
      <c r="A17" s="767" t="s">
        <v>36</v>
      </c>
      <c r="B17" s="768"/>
      <c r="C17" s="260" t="s">
        <v>265</v>
      </c>
      <c r="D17" s="261"/>
      <c r="E17" s="284"/>
      <c r="F17" s="731" t="s">
        <v>37</v>
      </c>
      <c r="G17" s="732"/>
      <c r="H17" s="282" t="s">
        <v>38</v>
      </c>
      <c r="I17" s="282" t="s">
        <v>39</v>
      </c>
      <c r="J17" s="283" t="s">
        <v>40</v>
      </c>
      <c r="L17" s="793" t="str">
        <f>IFERROR(VLOOKUP($L$16,'Drop Down Lists'!$AV$24:$AW$24,2,FALSE),"")</f>
        <v/>
      </c>
      <c r="M17" s="793"/>
    </row>
    <row r="18" spans="1:14" ht="20.100000000000001" customHeight="1" x14ac:dyDescent="0.6">
      <c r="A18" s="767" t="s">
        <v>41</v>
      </c>
      <c r="B18" s="768"/>
      <c r="C18" s="265">
        <v>100</v>
      </c>
      <c r="D18" s="606" t="str">
        <f>HYPERLINK("https://www.linkedin.com/in/jo-ann-balsamo","PAGE2:")</f>
        <v>PAGE2:</v>
      </c>
      <c r="E18" s="276" t="s">
        <v>42</v>
      </c>
      <c r="F18" s="733" t="str">
        <f>TRIM(IF(AND($C$17="Sessions - Per Student",$C$20&lt;&gt;""),(_xlfn.CONCAT("^"&amp;($C$20)&amp;"$ License")),IF(AND($C$17="Sessions - Per Student",$C$18&lt;&gt;"",$C$19&lt;&gt;""),(_xlfn.CONCAT("^"&amp;($C$18/$C$19)&amp;"$ Student Licenses")),IF(AND($C$17="DemoData1 Sessions",$C$20&lt;&gt;""),(_xlfn.CONCAT("^"&amp;($C$20)&amp;"$ DemoData1 License Program")),IF(AND($C$17="DemoData1 Sessions",$C$18&lt;&gt;"",$C$19&lt;&gt;""),(_xlfn.CONCAT("^"&amp;($C$18/$C$19)&amp;"$ DemoData1 License Program")),IF(OR($C$17="Sessions - Contract 1",$C$17="Sessions - Site Licenses"),"Contract 1",IF($C$17="PRODUCT2","PRODUCT2",IF($C$17="Sessions - DemoDataPlus","DemoDataPlus",IF($C$17="Per Hour","Default",IF($C$17="Sessions - Per Student","Check Inputs for Number of Sessions",IF($C$17="DemoData1 Sessions","Check Inputs for Number of Enrollment","")))))))))))</f>
        <v>Default</v>
      </c>
      <c r="G18" s="734"/>
      <c r="H18" s="275"/>
      <c r="I18" s="252"/>
      <c r="J18" s="277" t="str">
        <f>IF($C$17&lt;&gt;"",_xlfn.UNICHAR(9744), _xlfn.UNICHAR(9744))</f>
        <v>☐</v>
      </c>
      <c r="K18" s="269"/>
      <c r="L18" s="793"/>
      <c r="M18" s="793"/>
    </row>
    <row r="19" spans="1:14" ht="20.100000000000001" customHeight="1" x14ac:dyDescent="0.55000000000000004">
      <c r="A19" s="767" t="str" cm="1">
        <f t="array" ref="A19">_xlfn.IFS(LEFT($C$17,8)="Sessions","Cost Per Session", $C$17="DemoData1 Sessions", "Cost Per Session",$C$17="Per Hour", "Cost Per Hour",$C$17="PRODUCT2", "",TRUE,"Cost Per Hour")</f>
        <v>Cost Per Hour</v>
      </c>
      <c r="B19" s="768"/>
      <c r="C19" s="161">
        <v>1</v>
      </c>
      <c r="D19" s="163" t="s">
        <v>43</v>
      </c>
      <c r="E19" s="259" t="s">
        <v>42</v>
      </c>
      <c r="F19" s="278" t="s">
        <v>41</v>
      </c>
      <c r="G19" s="279" t="s">
        <v>44</v>
      </c>
      <c r="H19" s="280" t="s">
        <v>45</v>
      </c>
      <c r="I19" s="280" t="s">
        <v>46</v>
      </c>
      <c r="J19" s="281" t="s">
        <v>47</v>
      </c>
      <c r="L19" s="793"/>
      <c r="M19" s="793"/>
      <c r="N19" s="2"/>
    </row>
    <row r="20" spans="1:14" ht="20.100000000000001" customHeight="1" x14ac:dyDescent="0.55000000000000004">
      <c r="A20" s="773" t="str" cm="1">
        <f t="array" ref="A20">_xlfn.IFS(LEFT($C$17,8)="Sessions","Number of Sessions", $C$17="DemoData1 Sessions", "Number of School Enrollment",$C$17="PRODUCT2","",$C$17="Per Hour", "Number of Hours",TRUE,"Number of Hours")</f>
        <v>Number of Hours</v>
      </c>
      <c r="B20" s="774"/>
      <c r="C20" s="257">
        <v>100</v>
      </c>
      <c r="D20" s="258" t="s">
        <v>886</v>
      </c>
      <c r="E20" s="367" t="s">
        <v>48</v>
      </c>
      <c r="F20" s="368">
        <f>IF(AND($C$18&lt;&gt;"",$C$19&lt;&gt;"",$C$20&lt;&gt;"",$C$17&lt;&gt;"PRODUCT2"),IF(ROUND(SUM($C$19*$C$20),2)=ROUND(SUM($C$18),2),ROUND(SUM($C$18),2),_xlfn.CONCAT("Math is not mathing! Check "&amp;($A$18)&amp;", "&amp;($A$19)&amp;" &amp; "&amp;($A$20)&amp;"")),IF($C$18&lt;&gt;"",ROUND(SUM($C$18),2),IF(AND($C$19&lt;&gt;"",$C$20&lt;&gt;"",$C$17&lt;&gt;"PRODUCT2"),($C$19*$C$20),_xlfn.CONCAT("You need data! Check "&amp;IF($C$18="",_xlfn.CONCAT(""&amp;($A$18),IF(AND($C$19="",$C$20=""),_xlfn.CONCAT(", "&amp;($A$19)&amp;" &amp; "&amp;($A$20)&amp;""),IF(OR($C$19="",$C$20=""),_xlfn.CONCAT(" &amp; "&amp;IF($C$19="",$A$19,$A$20))))),IF(AND($C$19="",$C$20=""),_xlfn.CONCAT(""&amp;($A$19)&amp;" &amp; "&amp;($A$20)&amp;""),IF(OR($C$19="",$C$20=""),_xlfn.CONCAT(""&amp;IF($C$19="",$A$19,$A$20)))))))))</f>
        <v>100</v>
      </c>
      <c r="G20" s="369" t="str">
        <f>TRIM(IF(AND($D$16&lt;&gt;"",$F$16&lt;&gt;""),_xlfn.CONCAT(""&amp;TEXT($D$16,"mm/dd/yyy")&amp;"   |   "&amp;TEXT($F$16,"mm/dd/yyy")&amp;""),"Check Dates"))</f>
        <v>01/01/2026 | 12/31/2026</v>
      </c>
      <c r="H20" s="369" t="str" cm="1">
        <f t="array" ref="H20">TRIM(_xlfn.IFS(LEFT($C$17,8)="Sessions","Per Session",$C$17="DemoData1 Sessions","Per Session",$C$17="PRODUCT2","Per Session",$C$17="Per Hour","Per Hour",$C$17="n/a","Check Type",TRUE,""))</f>
        <v>Per Hour</v>
      </c>
      <c r="I20" s="370" t="str">
        <f>TRIM(IF(AND($C$18&lt;&gt;"",$C$19&lt;&gt;"",$C$20&lt;&gt;"",$C$17&lt;&gt;"PRODUCT2",ROUND(SUM($C$19*$C$20),2)=ROUND(SUM($C$18),2),OR(LEFT($C$17,8)="Sessions",LEFT($C$17,5)="DemoData1")),ROUND(SUM($C$18/'Drop Down Lists'!$AV$2),2),IF(AND(LEFT($C$17,8)&lt;&gt;"Sessions",LEFT($C$17,5)&lt;&gt;"DemoData1",$C$20&lt;&gt;"",$C$18&lt;&gt;"",$C$19&lt;&gt;"",$C$17&lt;&gt;"PRODUCT2"),ROUND(SUM($C$20),2),IF(AND($C$18&lt;&gt;"",OR(LEFT($C$17,8)="Sessions",LEFT($C$17,5)="DemoData1")),ROUND(SUM($C$18/'Drop Down Lists'!$AV$2),2),IF(AND($C$20&lt;&gt;"",$C$19&lt;&gt;"",OR(LEFT($C$17,8)="Sessions",LEFT($C$17,5)="DemoData1")),ROUND(SUM($C$19*$C$20)/'Drop Down Lists'!$AV$2,2),IF(AND($C$20&lt;&gt;"",$C$17="Per Hour"),ROUND(SUM($C$20),2),IF(AND($C$17="PRODUCT2",$C$18&lt;&gt;""),ROUND(SUM($C$18/'Drop Down Lists'!$AV$2),2),IF(AND($C$18&lt;&gt;"",$C$19&lt;&gt;"",$C$17="Per Hour"),ROUND(SUM($C$18/$C$19),2),_xlfn.CONCAT("You need data! Check "&amp;IF($C$18="",_xlfn.CONCAT(""&amp;($A$18),IF(AND($C$19="",$C$20=""),_xlfn.CONCAT(", "&amp;($A$19)&amp;" &amp; "&amp;($A$20)&amp;""),IF(OR($C$19="",$C$20=""),_xlfn.CONCAT(" &amp; "&amp;IF($C$19="",$A$19,$A$20))))),IF(AND($C$19="",$C$20=""),_xlfn.CONCAT(""&amp;($A$19)&amp;" &amp; "&amp;($A$20)&amp;""),IF(OR($C$19="",$C$20=""),_xlfn.CONCAT(""&amp;IF($C$19="",$A$19,$A$20))))))))))))))</f>
        <v>100</v>
      </c>
      <c r="J20" s="371" t="str">
        <f>IF($E$19="Yes", _xlfn.UNICHAR(9745),_xlfn.UNICHAR(9744))</f>
        <v>☐</v>
      </c>
      <c r="K20" s="270"/>
      <c r="L20" s="793"/>
      <c r="M20" s="793"/>
    </row>
    <row r="21" spans="1:14" ht="20.100000000000001" customHeight="1" x14ac:dyDescent="0.55000000000000004">
      <c r="A21" s="797" t="s">
        <v>49</v>
      </c>
      <c r="B21" s="798"/>
      <c r="C21" s="359" t="s">
        <v>33</v>
      </c>
      <c r="D21" s="360"/>
      <c r="E21" s="361" t="s">
        <v>34</v>
      </c>
      <c r="F21" s="362"/>
      <c r="G21" s="363" t="s">
        <v>35</v>
      </c>
      <c r="H21" s="364"/>
      <c r="I21" s="365"/>
      <c r="J21" s="366"/>
      <c r="K21" s="268"/>
      <c r="L21" s="793"/>
      <c r="M21" s="793"/>
    </row>
    <row r="22" spans="1:14" ht="20.100000000000001" customHeight="1" x14ac:dyDescent="0.55000000000000004">
      <c r="A22" s="781" t="s">
        <v>50</v>
      </c>
      <c r="B22" s="782"/>
      <c r="C22" s="260"/>
      <c r="D22" s="261"/>
      <c r="E22" s="284"/>
      <c r="F22" s="731" t="s">
        <v>37</v>
      </c>
      <c r="G22" s="732"/>
      <c r="H22" s="282" t="s">
        <v>38</v>
      </c>
      <c r="I22" s="282" t="s">
        <v>39</v>
      </c>
      <c r="J22" s="283" t="s">
        <v>40</v>
      </c>
      <c r="K22" s="271"/>
      <c r="L22" s="793"/>
      <c r="M22" s="793"/>
    </row>
    <row r="23" spans="1:14" ht="20.100000000000001" customHeight="1" x14ac:dyDescent="0.55000000000000004">
      <c r="A23" s="769" t="s">
        <v>41</v>
      </c>
      <c r="B23" s="770"/>
      <c r="C23" s="265"/>
      <c r="D23" s="604" t="str">
        <f>HYPERLINK("https://www.linkedin.com/in/jo-ann-balsamo","PAGE2:")</f>
        <v>PAGE2:</v>
      </c>
      <c r="E23" s="276"/>
      <c r="F23" s="733" t="str">
        <f>IF(AND($C$22="Sessions - Per Student",$C$25&lt;&gt;""),(_xlfn.CONCAT("^"&amp;($C$25)&amp;"$ License")),IF(AND($C$22="Sessions - Per Student",$C$23&lt;&gt;"",$C$24&lt;&gt;""),(_xlfn.CONCAT("^"&amp;($C$23/$C$24)&amp;"$ License")),IF(AND($C$22="DemoData1 Sessions",$C$25&lt;&gt;""),(_xlfn.CONCAT("^"&amp;($C$25)&amp;"$ DemoData1 License Program")),IF(AND($C$22="DemoData1 Sessions",$C$23&lt;&gt;"",$C$24&lt;&gt;""),(_xlfn.CONCAT("^"&amp;($C$23/$C$24)&amp;"$ DemoData1 License Program")),IF(OR($C$22="Sessions - Advanced Per Year",$C$22="Sessions - Site Licenses"),"Contract 1",IF($C$22="PRODUCT2","PRODUCT2",IF($C$22="Sessions - DemoDataPlus","DemoDataPlus",IF($C$22="Per Hour","Default",IF($C$22="Sessions - Per Student","Check Inputs for Number of Sessions",IF($C$22="DemoData1 Sessions","Check Inputs for Number of Enrollment",""))))))))))</f>
        <v/>
      </c>
      <c r="G23" s="734"/>
      <c r="H23" s="275"/>
      <c r="I23" s="252"/>
      <c r="J23" s="277" t="str">
        <f>IF($C$22&lt;&gt;"",_xlfn.UNICHAR(9744), _xlfn.UNICHAR(9744))</f>
        <v>☐</v>
      </c>
      <c r="K23" s="272"/>
      <c r="L23" s="793"/>
      <c r="M23" s="793"/>
    </row>
    <row r="24" spans="1:14" ht="20.100000000000001" customHeight="1" x14ac:dyDescent="0.55000000000000004">
      <c r="A24" s="767" t="str" cm="1">
        <f t="array" ref="A24">_xlfn.IFS(LEFT($C$22,8)="Sessions","Cost Per Session", $C$22="DemoData1 Sessions", "Cost Per Session",$C$22="PRODUCT2","",$C$22="Per Hour", "Cost Per Hour",TRUE,"Cost Per Hour")</f>
        <v>Cost Per Hour</v>
      </c>
      <c r="B24" s="768"/>
      <c r="C24" s="161"/>
      <c r="D24" s="163" t="s">
        <v>43</v>
      </c>
      <c r="E24" s="259"/>
      <c r="F24" s="278" t="s">
        <v>41</v>
      </c>
      <c r="G24" s="279" t="s">
        <v>44</v>
      </c>
      <c r="H24" s="280" t="s">
        <v>45</v>
      </c>
      <c r="I24" s="280" t="s">
        <v>46</v>
      </c>
      <c r="J24" s="281" t="s">
        <v>47</v>
      </c>
      <c r="K24" s="272"/>
      <c r="N24" s="198"/>
    </row>
    <row r="25" spans="1:14" ht="20.100000000000001" customHeight="1" x14ac:dyDescent="0.55000000000000004">
      <c r="A25" s="773" t="str" cm="1">
        <f t="array" ref="A25">_xlfn.IFS(LEFT($C$22,8)="Sessions","Number of Sessions", $C$22="DemoData1 Sessions", "Number of School Enrollment",$C$22="PRODUCT2","",$C$22="Per Hour", "Number of Hours",TRUE,"Number of Hours")</f>
        <v>Number of Hours</v>
      </c>
      <c r="B25" s="774"/>
      <c r="C25" s="257"/>
      <c r="D25" s="258" t="s">
        <v>886</v>
      </c>
      <c r="E25" s="367"/>
      <c r="F25" s="368" t="str">
        <f>IF(AND($C$23&lt;&gt;"",$C$24&lt;&gt;"",$C$25&lt;&gt;"",$C$22&lt;&gt;"PRODUCT2"),IF(ROUND(SUM($C$24*$C$25),2)=ROUND(SUM($C$23),2),ROUND(SUM($C$23),2),_xlfn.CONCAT("Math is not mathing! Check "&amp;($A$23)&amp;", "&amp;($A$24)&amp;" &amp; "&amp;($A$25)&amp;"")),IF($C$23&lt;&gt;"",ROUND(SUM($C$23),2),IF(AND($C$24&lt;&gt;"",$C$25&lt;&gt;"",$C$22&lt;&gt;"PRODUCT2"),($C$24*$C$25),_xlfn.CONCAT("You need data! Check "&amp;IF($C$23="",_xlfn.CONCAT(""&amp;($A$23),IF(AND($C$24="",$C$25=""),_xlfn.CONCAT(", "&amp;($A$24)&amp;" &amp; "&amp;($A$25)&amp;""),IF(OR($C$24="",$C$25=""),_xlfn.CONCAT(" &amp; "&amp;IF($C$24="",$A$24,$A$25))))),IF(AND($C$24="",$C$25=""),_xlfn.CONCAT(""&amp;($A$24)&amp;" &amp; "&amp;($A$25)&amp;""),IF(OR($C$24="",$C$25=""),_xlfn.CONCAT(""&amp;IF($C$24="",$A$24,$A$25)))))))))</f>
        <v>You need data! Check Revenue, Cost Per Hour &amp; Number of Hours</v>
      </c>
      <c r="G25" s="369" t="str">
        <f>IF(AND($D$21&lt;&gt;"",$F$21&lt;&gt;""),_xlfn.CONCAT(""&amp;TEXT($D$21,"mm/dd/yyy")&amp;"   |   "&amp;TEXT($F$21,"mm/dd/yyy")&amp;""),"Check Dates")</f>
        <v>Check Dates</v>
      </c>
      <c r="H25" s="369" t="str" cm="1">
        <f t="array" ref="H25">_xlfn.IFS(LEFT($C$22,8)="Sessions","Per Session", $C$22="DemoData1 Sessions", "Per Session",$C$22="PRODUCT2", "Per Session",$C$22="Per Hour", "Per Hour",$C$22="n/a", "Check Type",TRUE,"")</f>
        <v/>
      </c>
      <c r="I25" s="370" t="str">
        <f>IF(AND($C$23&lt;&gt;"",$C$24&lt;&gt;"",$C$25&lt;&gt;"",$C$22&lt;&gt;"PRODUCT2",ROUND(SUM($C$24*$C$25),2)=ROUND(SUM($C$23),2),OR(LEFT($C$22,8)="Sessions",LEFT($C$22,5)="DemoData1")),ROUND(SUM($C$23/20),2),IF(AND(LEFT($C$22,8)&lt;&gt;"Sessions",LEFT($C$22,5)&lt;&gt;"DemoData1",$C$25&lt;&gt;"",$C$23&lt;&gt;"",$C$24&lt;&gt;"",$C$22&lt;&gt;"PRODUCT2"),ROUND(SUM($C$25),2),IF(AND($C$23&lt;&gt;"",OR(LEFT($C$22,8)="Sessions",LEFT($C$22,5)="DemoData1")),ROUND(SUM($C$23/'Drop Down Lists'!$AV$2),2),IF(AND($C$25&lt;&gt;"",$C$24&lt;&gt;"",OR(LEFT($C$22,8)="Sessions",LEFT($C$22,5)="DemoData1")),ROUND(SUM($C$24*$C$25)/'Drop Down Lists'!$AV$2,2),IF(AND($C$25&lt;&gt;"",$C$22="Per Hour"),ROUND(SUM($C$25),2),IF(AND($C$22="PRODUCT2",$C$23&lt;&gt;""),ROUND(SUM($C$23/'Drop Down Lists'!$AV$2),2),IF(AND($C$23&lt;&gt;"",$C$24&lt;&gt;"",$C$22="Per Hour"),ROUND(SUM($C$23/$C$24),2),_xlfn.CONCAT("You need data! Check "&amp;IF($C$23="",_xlfn.CONCAT(""&amp;($A$23),IF(AND($C$24="",$C$25=""),_xlfn.CONCAT(", "&amp;($A$23)&amp;" &amp; "&amp;($A$25)&amp;""),IF(OR($C$24="",$C$25=""),_xlfn.CONCAT(" &amp; "&amp;IF($C$24="",$A$24,$A$25))))),IF(AND($C$24="",$C$25=""),_xlfn.CONCAT(""&amp;($A$24)&amp;" &amp; "&amp;($A$25)&amp;""),IF(OR($C$24="",$C$25=""),_xlfn.CONCAT(""&amp;IF($C$24="",$A$24,$A$25)))))))))))))</f>
        <v>You need data! Check Revenue, Revenue &amp; Number of Hours</v>
      </c>
      <c r="J25" s="371" t="str">
        <f>IF($E$24="Yes", _xlfn.UNICHAR(9745),_xlfn.UNICHAR(9744))</f>
        <v>☐</v>
      </c>
      <c r="K25" s="272"/>
      <c r="L25" s="253"/>
    </row>
    <row r="26" spans="1:14" s="7" customFormat="1" ht="20.100000000000001" customHeight="1" x14ac:dyDescent="0.55000000000000004">
      <c r="A26" s="254" t="s">
        <v>591</v>
      </c>
      <c r="B26" s="255"/>
      <c r="C26" s="256"/>
      <c r="D26" s="256"/>
      <c r="E26" s="256"/>
      <c r="F26" s="9"/>
      <c r="G26" s="9"/>
      <c r="H26" s="744" t="s">
        <v>51</v>
      </c>
      <c r="I26" s="744"/>
      <c r="J26" s="745"/>
      <c r="K26" s="272"/>
      <c r="L26" s="136" t="str" cm="1">
        <f t="array" ref="L26">_xlfn.IFS($C$14="LM7 - GENINTEGRATION 31",HYPERLINK("https://www.linkedin.com/in/jo-ann-balsamo","LM7 Developer Configuration"), $C$14="LMS8 - GENINTEGRATION 31", "LMS8 Client Response Collection", $C$14="LMS5 - GENINTEGRATION 31", "LMS5 Client Response Collection", $C$14="LMS6 - GENINTEGRATION 31", "LMS6 Client Response Collection",TRUE,"")</f>
        <v/>
      </c>
      <c r="M26" s="735" t="str" cm="1">
        <f t="array" ref="M26">_xlfn.IFS($C$14="LM7 - GENINTEGRATION 31",HYPERLINK("https://www.linkedin.com/in/jo-ann-balsamo","https://www.linkedin.com/in/jo-ann-balsamo"), $C$14="LMS8 - GENINTEGRATION 31", "Update LMS9 / LMS8 Components 1-5 Once Response is Received from Client",$C$14="LMS5 - GENINTEGRATION 31", "Update LMS5 Components 1-6 Once Response is Received from Client",$C$14="LMS6 - GENINTEGRATION 31", "", TRUE,"")</f>
        <v/>
      </c>
      <c r="N26" s="674"/>
    </row>
    <row r="27" spans="1:14" ht="20.100000000000001" customHeight="1" x14ac:dyDescent="0.55000000000000004">
      <c r="A27" s="707" t="s">
        <v>592</v>
      </c>
      <c r="B27" s="708"/>
      <c r="C27" s="738">
        <v>2026</v>
      </c>
      <c r="D27" s="739"/>
      <c r="E27" s="739"/>
      <c r="F27" s="739"/>
      <c r="G27" s="739"/>
      <c r="H27" s="345" t="s">
        <v>685</v>
      </c>
      <c r="I27" s="694" t="str">
        <f>TRIM(IFERROR(IF(AND('Program Contacts &amp; Kickoff'!B2&lt;&gt;"",VLOOKUP('Program Contacts &amp; Kickoff'!B2,'Program Contacts &amp; Kickoff'!$I:$J,2,FALSE)&lt;&gt;""),VLOOKUP('Program Contacts &amp; Kickoff'!B2,'Program Contacts &amp; Kickoff'!$I:$J,2,FALSE),'Program Contacts &amp; Kickoff'!E2),IF('Program Contacts &amp; Kickoff'!B2&lt;&gt;"",'Program Contacts &amp; Kickoff'!E2,"")))</f>
        <v>leah.adler@FakeDemoData.com</v>
      </c>
      <c r="J27" s="695"/>
      <c r="L27" s="132" t="str" cm="1">
        <f t="array" ref="L27">_xlfn.IFS($C$14="LM7 - GENINTEGRATION 31","Username",$C$14="LMS5 - GENINTEGRATION 31","(1) LMS5 CID",$C$14="LMS8 - GENINTEGRATION 31",IF(F34="","DomPRODUCT4 n","Unique PRODUCT4"),$C$14="LMS6 - GENINTEGRATION 31", "(1) LMS6 Platform ID",TRUE,"")</f>
        <v/>
      </c>
      <c r="M27" s="207" t="str" cm="1">
        <f t="array" ref="M27">_xlfn.IFS($C$14="LM7 - GENINTEGRATION 31","joann.balsamo@ PRODUCT4.com",  $C$14="LMS5 - GENINTEGRATION 31", "= DemoData3 CID",$C$14="LMS8 - GENINTEGRATION 31", IF($F$34&lt;&gt;"",$F$34,"https://www.linkedin.com/in/jo-ann-balsamo"),$C$14="LMS6 - GENINTEGRATION 31", "= DemoData3 Issuer", TRUE,"")</f>
        <v/>
      </c>
      <c r="N27" s="134"/>
    </row>
    <row r="28" spans="1:14" ht="20.100000000000001" customHeight="1" x14ac:dyDescent="0.55000000000000004">
      <c r="A28" s="771" t="s">
        <v>719</v>
      </c>
      <c r="B28" s="772"/>
      <c r="C28" s="736" t="s">
        <v>1013</v>
      </c>
      <c r="D28" s="737"/>
      <c r="E28" s="737"/>
      <c r="F28" s="737"/>
      <c r="G28" s="737"/>
      <c r="H28" s="346" t="s">
        <v>686</v>
      </c>
      <c r="I28" s="696" t="str">
        <f>TRIM(IFERROR(IF(AND('Program Contacts &amp; Kickoff'!B3&lt;&gt;"",VLOOKUP('Program Contacts &amp; Kickoff'!B3,'Program Contacts &amp; Kickoff'!$I:$J,2,FALSE)&lt;&gt;""),VLOOKUP('Program Contacts &amp; Kickoff'!B3,'Program Contacts &amp; Kickoff'!$I:$J,2,FALSE),'Program Contacts &amp; Kickoff'!E3),IF('Program Contacts &amp; Kickoff'!B3&lt;&gt;"",'Program Contacts &amp; Kickoff'!E3,"")))</f>
        <v>gavin.park@FakeDemoData.com</v>
      </c>
      <c r="J28" s="697"/>
      <c r="L28" s="132" t="str" cm="1">
        <f t="array" ref="L28">_xlfn.IFS($C$14="LM7 - GENINTEGRATION 31","PW", $C$14="LMS8 - GENINTEGRATION 31", "(1) LMS9 / LMS8 CID", $C$14="LMS5 - GENINTEGRATION 31", "(2) LMS5 Issuer", $C$14="LMS6 - GENINTEGRATION 31", "(2) LMS6 CID",TRUE,"")</f>
        <v/>
      </c>
      <c r="M28" s="207" t="str" cm="1">
        <f t="array" ref="M28">_xlfn.IFS($C$14="LM7 - GENINTEGRATION 31","DemoData2023LATEST1$", $C$14="LMS5 - GENINTEGRATION 31", "= DemoData3 Issuer", $C$14="LMS8 - GENINTEGRATION 31", "= DemoData3 CID", $C$14="LMS6 - GENINTEGRATION 31", "= DemoData3 CID",TRUE,"")</f>
        <v/>
      </c>
      <c r="N28" s="134"/>
    </row>
    <row r="29" spans="1:14" ht="20.100000000000001" customHeight="1" x14ac:dyDescent="0.55000000000000004">
      <c r="A29" s="779" t="s">
        <v>720</v>
      </c>
      <c r="B29" s="780"/>
      <c r="C29" s="740" t="str">
        <f>UPPER(C28)</f>
        <v>NONCE-NONCE-NONCE2-NONCE3-NONCE</v>
      </c>
      <c r="D29" s="741"/>
      <c r="E29" s="741"/>
      <c r="F29" s="741"/>
      <c r="G29" s="741"/>
      <c r="H29" s="347" t="str" cm="1">
        <f t="array" ref="H29">_xlfn.IFS($C$14="LM7 - GENINTEGRATION 31","", $C$14="LMS8 - GENINTEGRATION 31", "", $C$14="LMS4", "X.509 Certificate File Name:", $C$14="LMS10", "X.509 Certificate File Name:", $C$14="LMS3", "LMS3 ID File Name:",TRUE,"")</f>
        <v/>
      </c>
      <c r="I29" s="742" t="str" cm="1">
        <f t="array" ref="I29">_xlfn.IFS($C$14="LM7 - GENINTEGRATION 31","",$C$14="LMS8 - GENINTEGRATION 31","",$C$14="LMS4",IF(Concats!$A$8&lt;&gt;"",_xlfn.CONCAT(""&amp;(SUBSTITUTE(UPPER(Concats!$A$8),"/",""))&amp;"_LMS4_x509_Cert"),"Please Provide a PUBLIC DemoData2h"),$C$14="LMS10",IF(Concats!$A$8&lt;&gt;"",_xlfn.CONCAT(""&amp;(SUBSTITUTE(UPPER(Concats!$A$8),"/",""))&amp;"_GENINTEGRATION_x509_Cert"),"Please Provide a PUBLIC DemoData2h"),$C$14="LMS3",IF(Concats!$A$8&lt;&gt;"",_xlfn.CONCAT(""&amp;(SUBSTITUTE(UPPER(Concats!$A$8),"/",""))&amp;"_LMS3_ID"),"Please Provide a PUBLIC DemoData2h"),TRUE,"")</f>
        <v/>
      </c>
      <c r="J29" s="743"/>
      <c r="L29" s="160" t="str" cm="1">
        <f t="array" ref="L29">_xlfn.IFS($C$14="LM7 - GENINTEGRATION 31","Manual Registration &gt;&gt; Register a new Application",  $C$14="LMS5 - GENINTEGRATION 31", "(3) LMS5 Public DemoData27set URL", $C$14="LMS8 - GENINTEGRATION 31", "(2) LMS9 / LMS8 DemoData27set URL", $C$14="LMS6 - GENINTEGRATION 31", "(3) LMS6 Deployment ID",TRUE,"")</f>
        <v/>
      </c>
      <c r="M29" s="135" t="str" cm="1">
        <f t="array" ref="M29">_xlfn.IFS($C$14="LM7 - GENINTEGRATION 31","", $C$14="LMS8 - GENINTEGRATION 31", " = DemoData3 DemoData27set URL", $C$14="LMS5 - GENINTEGRATION 31", " = DemoData3 DemoData27set URL", $C$14="LMS6 - GENINTEGRATION 31", "= DemoData3 Deployment ID",TRUE,"")</f>
        <v/>
      </c>
      <c r="N29" s="137"/>
    </row>
    <row r="30" spans="1:14" ht="20.100000000000001" customHeight="1" x14ac:dyDescent="0.55000000000000004">
      <c r="A30" s="746" t="str" cm="1">
        <f t="array" ref="A30">_xlfn.IFS($C$14="LMS4", (HYPERLINK("https://www.linkedin.com/in/jo-ann-balsamo","X.509 Certificate:")), $C$14="LMS10",(HYPERLINK("https://www.linkedin.com/in/jo-ann-balsamo","x.509 Certificate:")),$C$14="LMS3",(HYPERLINK("https://www.linkedin.com/in/jo-ann-balsamo","LMS3 District ID:")), $C$14="LMS11","", TRUE, (HYPERLINK("https://www.linkedin.com/in/jo-ann-balsamo","DemoData27:")))</f>
        <v>DemoData27:</v>
      </c>
      <c r="B30" s="747"/>
      <c r="C30" s="736" t="s">
        <v>1014</v>
      </c>
      <c r="D30" s="737"/>
      <c r="E30" s="737"/>
      <c r="F30" s="737"/>
      <c r="G30" s="737"/>
      <c r="H30" s="347" t="str" cm="1">
        <f t="array" ref="H30">_xlfn.IFS($C$14="LM7 - GENINTEGRATION 31","LM7 Developer Application DemoData27", $C$14="LMS8 - GENINTEGRATION 31", "", $C$14="LMS4", "Link to Client X.509 File:", $C$14="LMS10", "Link to Client X.509 File:",$C$14="LMS3", "Link to LMS3 ID File:",TRUE,"")</f>
        <v/>
      </c>
      <c r="I30" s="658"/>
      <c r="J30" s="659"/>
      <c r="L30" s="132" t="str" cm="1">
        <f t="array" ref="L30">_xlfn.IFS($C$14="LM7 - GENINTEGRATION 31","Application ID",  $C$14="LMS5 - GENINTEGRATION 31", "(4) LMS5 Open ID Connect EP", $C$14="LMS8 - GENINTEGRATION 31", "(3) LMS9 / LMS8 OpenID Connect OA EP", $C$14="LMS6 - GENINTEGRATION 31", "(4) LMS6 Public DemoData27set URL",TRUE,"")</f>
        <v/>
      </c>
      <c r="M30" s="208" t="str" cm="1">
        <f t="array" ref="M30">_xlfn.IFS($C$14="LM7 - GENINTEGRATION 31","Enter LM7 Developer Application ID--&gt;", $C$14="LMS8 - GENINTEGRATION 31", "= DemoData3 ALU", $C$14="LMS5 - GENINTEGRATION 31", "= DemoData3 ALU", $C$14="LMS6 - GENINTEGRATION 31", "= DemoData3 DemoData27set URL",TRUE,"")</f>
        <v/>
      </c>
      <c r="N30" s="134"/>
    </row>
    <row r="31" spans="1:14" ht="20.100000000000001" customHeight="1" x14ac:dyDescent="0.55000000000000004">
      <c r="A31" s="643" t="str" cm="1">
        <f t="array" ref="A31">_xlfn.IFS($C$14="LMS4", "", $C$14="LMS3", "",$C$14="LMS11", "",$C$14="LMS10", "",TRUE, (HYPERLINK("https://www.linkedin.com/in/jo-ann-balsamo","DemoData72:")))</f>
        <v>DemoData72:</v>
      </c>
      <c r="B31" s="644"/>
      <c r="C31" s="736" t="s">
        <v>1015</v>
      </c>
      <c r="D31" s="737"/>
      <c r="E31" s="737"/>
      <c r="F31" s="737"/>
      <c r="G31" s="737"/>
      <c r="H31" s="347" t="str" cm="1">
        <f t="array" ref="H31">_xlfn.IFS($C$14="LM7 - GENINTEGRATION 31","LM7 Developer DemoData72", $C$14="LMS8 - GENINTEGRATION 31", "", TRUE,"")</f>
        <v/>
      </c>
      <c r="I31" s="658"/>
      <c r="J31" s="659"/>
      <c r="L31" s="132" t="str" cm="1">
        <f t="array" ref="L31">_xlfn.IFS($C$14="LM7 - GENINTEGRATION 31","Application Name",  $C$14="LMS5 - GENINTEGRATION 31", "(5) LMS5 Access Token URL", $C$14="LMS8 - GENINTEGRATION 31", "(4) LMS9 / LMS8 Issuer", $C$14="LMS6 - GENINTEGRATION 31", "(5) LMS6 Access Token URL",TRUE,"")</f>
        <v/>
      </c>
      <c r="M31" s="130" t="str" cm="1">
        <f t="array" ref="M31">_xlfn.IFS($C$14="LM7 - GENINTEGRATION 31",_xlfn.CONCAT("DemoData.com "&amp;UPPER(SUBSTITUTE(Concats!$A$8,"/",""))&amp;" GENINTEGRATION 31"), $C$14="LMS5 - GENINTEGRATION 31", "NOT used in DemoData3 Build", $C$14="LMS8 - GENINTEGRATION 31", "= DemoData3 Issuer",$C$14="LMS6 - GENINTEGRATION 31", "NOT used in DemoData3 Build", TRUE,"")</f>
        <v/>
      </c>
      <c r="N31" s="134"/>
    </row>
    <row r="32" spans="1:14" ht="20.100000000000001" customHeight="1" x14ac:dyDescent="0.55000000000000004">
      <c r="A32" s="707" t="s">
        <v>752</v>
      </c>
      <c r="B32" s="708"/>
      <c r="C32" s="348"/>
      <c r="D32" s="645" t="s">
        <v>753</v>
      </c>
      <c r="E32" s="645"/>
      <c r="F32" s="645"/>
      <c r="G32" s="645"/>
      <c r="H32" s="645"/>
      <c r="I32" s="349"/>
      <c r="J32" s="350"/>
      <c r="L32" s="132" t="str" cm="1">
        <f t="array" ref="L32">_xlfn.IFS($C$14="LM7 - GENINTEGRATION 31","Description",  $C$14="LMS5 - GENINTEGRATION 31", "(6) LMS5 Deployment ID", $C$14="LMS8 - GENINTEGRATION 31", "(5) LMS9 / LMS8 Deployment ID", $C$14="LMS6 - GENINTEGRATION 31", "(6) LMS6 OA Request URL",TRUE,"")</f>
        <v/>
      </c>
      <c r="M32" s="130" t="str" cm="1">
        <f t="array" aca="1" ref="M32" ca="1">_xlfn.IFS(C14="LM7 - GENINTEGRATION 31",IF(C8&lt;&gt;"",_xlfn.CONCAT("LM7 GENINTEGRATION 31 for DemoData.com and "&amp;(SUBSTITUTE(SUBSTITUTE($C$8,"(",""),")",""))&amp;""),"This component requires the Client/Program Name"),$C$14="LMS5 - GENINTEGRATION 31", "= DemoData3 Deployment ID", $C$14="LMS8 - GENINTEGRATION 31","=DemoData3 Deployment ID",$C$14="LMS6 - GENINTEGRATION 31", "= DemoData3 ALU",TRUE,"")</f>
        <v/>
      </c>
      <c r="N32" s="134"/>
    </row>
    <row r="33" spans="1:16" s="7" customFormat="1" ht="20.100000000000001" customHeight="1" x14ac:dyDescent="0.55000000000000004">
      <c r="A33" s="76" t="str" cm="1">
        <f t="array" ref="A33">_xlfn.IFS($C$14="LMS4","",$C$14="LMS10","",C14="LMS3",(""),$C$14="LMS11","", TRUE,(HYPERLINK("https://www.linkedin.com/in/jo-ann-balsamo","DemoData3 Configuration")))</f>
        <v>DemoData3 Configuration</v>
      </c>
      <c r="B33" s="211"/>
      <c r="C33" s="351" t="str" cm="1">
        <f t="array" ref="C33">_xlfn.IFS($C$14="LMS4","",$C$14="LMS10","",C14="LMS3",(""),$C$14="LMS11","",TRUE,"DemoData3 Common Custom Parameters &amp; Recommended Build Note configured on the DemoData3 CCP Tab ⬇️⬇️")</f>
        <v>DemoData3 Common Custom Parameters &amp; Recommended Build Note configured on the DemoData3 CCP Tab ⬇️⬇️</v>
      </c>
      <c r="D33" s="352"/>
      <c r="E33" s="352"/>
      <c r="F33" s="352"/>
      <c r="G33" s="353"/>
      <c r="H33" s="693" t="str" cm="1">
        <f t="array" ref="H33">_xlfn.IFS($C$14="LMS4","",$C$14="LMS10","",C14="LMS3",(""),$C$14="LMS11","",TRUE,"Link to DemoData3 Common Custom Parameters")</f>
        <v>Link to DemoData3 Common Custom Parameters</v>
      </c>
      <c r="I33" s="693"/>
      <c r="J33" s="693"/>
      <c r="K33" s="266"/>
      <c r="L33" s="132" t="str" cm="1">
        <f t="array" ref="L33">IF(H34="",_xlfn.IFS($C$14="LM7 - GENINTEGRATION 31","DomPRODUCT4 n",$C$14="LMS8 - GENINTEGRATION 31","",$C$14="LMS1 - GENINTEGRATION 31 Link &amp; Course NAV","",$C$14="LMS1 - GENINTEGRATION 31 - All Types of Placement","",TRUE,""),"Unique PRODUCT4")</f>
        <v>Unique PRODUCT4</v>
      </c>
      <c r="M33" s="130" t="str" cm="1">
        <f t="array" ref="M33">_xlfn.IFS($C$14="LM7 - GENINTEGRATION 31",IF($F$34="","api.DemoData3.com",RIGHT($F$34,21)),$C$14="LMS8 - GENINTEGRATION 31","",$C$14="LMS1 - GENINTEGRATION 31 Link &amp; Course NAV","",$C$14="LMS1 - GENINTEGRATION 31 - All Types of Placement","",TRUE,"")</f>
        <v/>
      </c>
      <c r="N33" s="208"/>
    </row>
    <row r="34" spans="1:16" ht="20.100000000000001" customHeight="1" x14ac:dyDescent="0.55000000000000004">
      <c r="A34" s="775" t="str" cm="1">
        <f t="array" ref="A34">_xlfn.IFS($C$14="LMS4","",$C$14="LMS10","",$C$14="LMS3",(""),$C$14="LMS11","",TRUE,"Client URL:")</f>
        <v>Client URL:</v>
      </c>
      <c r="B34" s="776"/>
      <c r="C34" s="641" t="s">
        <v>919</v>
      </c>
      <c r="D34" s="642"/>
      <c r="E34" s="603" t="s">
        <v>693</v>
      </c>
      <c r="F34" s="662"/>
      <c r="G34" s="662"/>
      <c r="H34" s="358" t="s">
        <v>694</v>
      </c>
      <c r="I34" s="639" t="str">
        <f ca="1">IF(F34&lt;&gt;"",IF(AND($F$10&lt;&gt;"",$C$27&lt;&gt;""),(_xlfn.CONCAT($F$10)&amp;" | "&amp;($C$27)&amp;" | "&amp;($C$14)&amp;" "&amp;IF($I$2="GENINTEGRATION 31 Migration","Migration",_xlfn.CONCAT(" | "&amp;($I$2)))&amp;IF('Program Contacts &amp; Kickoff'!B1&lt;&gt;"", _xlfn.CONCAT("
IM: "&amp;('Program Contacts &amp; Kickoff'!B1)&amp;" | "&amp;(TEXT(TODAY(),"YYYY-MM-DD"))&amp;""),"")&amp;"
"&amp;IF($C$35&lt;&gt;"",_xlfn.CONCAT("DemoData3 Property: "&amp;($C$35)),"")&amp;"
"&amp;IF($I$4&lt;&gt;"",_xlfn.CONCAT("JLB Ticket Link: "&amp;($I$4)),"")),"This component requires a Unique PRODUCT4 and the Program Name &amp; ID"),"")</f>
        <v/>
      </c>
      <c r="J34" s="640"/>
      <c r="L34" s="209" t="str" cm="1">
        <f t="array" ref="L34">_xlfn.IFS($C$14="LM7 - GENINTEGRATION 31","My Inegration Supports (Toggle)", $C$14="LMS8 - GENINTEGRATION 31", "", $C$14="LMS1 - GENINTEGRATION 31 Link &amp; Course NAV", "",$C$14="LMS1 - GENINTEGRATION 31 - All Types of Placement", "",TRUE,"")</f>
        <v/>
      </c>
      <c r="M34" s="210" t="str" cm="1">
        <f t="array" ref="M34">_xlfn.IFS($C$14="LM7 - GENINTEGRATION 31","Enable GENINTEGRATION 31", $C$14="LMS8 - GENINTEGRATION 31", "",  $C$14="LMS1 - GENINTEGRATION 31 Link &amp; Course NAV", "", $C$14="LMS1 - GENINTEGRATION 31 - All Types of Placement", "",TRUE,"")</f>
        <v/>
      </c>
      <c r="N34" s="130"/>
    </row>
    <row r="35" spans="1:16" ht="20.100000000000001" customHeight="1" x14ac:dyDescent="0.55000000000000004">
      <c r="A35" s="777" t="str" cm="1">
        <f t="array" ref="A35">_xlfn.IFS($C$14="LMS4", "", $C$14="LMS3", "",$C$14="LMS10", "",$C$14="LMS11","",TRUE, "DemoData3 Property Link:")</f>
        <v>DemoData3 Property Link:</v>
      </c>
      <c r="B35" s="778"/>
      <c r="C35" s="646" t="s">
        <v>919</v>
      </c>
      <c r="D35" s="647"/>
      <c r="E35" s="355" t="s">
        <v>606</v>
      </c>
      <c r="F35" s="356" t="str">
        <f>IF(AND($F$10&lt;&gt;"",$C$27&lt;&gt;""),(_xlfn.CONCAT($F$10)&amp;" | "&amp;($C$27)),"This component requires the Program Name &amp; the Program ID")</f>
        <v>DEMO | 2026</v>
      </c>
      <c r="G35" s="357" t="s">
        <v>609</v>
      </c>
      <c r="H35" s="663" t="str">
        <f>IF(AND(Concats!$A$8&lt;&gt;"",$C$14&lt;&gt;""),(_xlfn.CONCAT(UPPER(SUBSTITUTE(Concats!$A$8,"/","")))&amp;" | "&amp;($C$14)),"This component requires the PUBLIC &amp; the Integration Method")</f>
        <v>LINKEDIN | LMS1 - GENINTEGRATION 31 Link &amp; Course NAV</v>
      </c>
      <c r="I35" s="664"/>
      <c r="J35" s="342"/>
      <c r="L35" s="209" t="str" cm="1">
        <f t="array" ref="L35">_xlfn.IFS($C$14="LM7 - GENINTEGRATION 31","LI InitiPRODUCT4 tion URL", $C$14="LMS8 - GENINTEGRATION 31", "",  $C$14="LMS1 - GENINTEGRATION 31 Link &amp; Course NAV", "",$C$14="LMS1 - GENINTEGRATION 31 - All Types of Placement", "",TRUE,"")</f>
        <v/>
      </c>
      <c r="M35" s="210" t="str" cm="1">
        <f t="array" ref="M35">_xlfn.IFS($C$14="LM7 - GENINTEGRATION 31",IF(C34&lt;&gt;"",C34,"This component requires the DemoData3 Client URL"), $C$14="LMS8 - GENINTEGRATION 31", "",  $C$14="LMS1 - GENINTEGRATION 31 Link &amp; Course NAV", "",$C$14="LMS1 - GENINTEGRATION 31 - All Types of Placement", "",TRUE,"")</f>
        <v/>
      </c>
      <c r="N35" s="130"/>
    </row>
    <row r="36" spans="1:16" s="107" customFormat="1" ht="20.100000000000001" customHeight="1" x14ac:dyDescent="0.55000000000000004">
      <c r="A36" s="108" t="str" cm="1">
        <f t="array" ref="A36">_xlfn.IFS($C$14=0, "", $C$14="n/a", "", $C$14&gt;0, IFERROR(VLOOKUP($C$14,'Drop Down Lists'!$B$4:$AO$63,2,FALSE),""))</f>
        <v>GENINTEGRATION 31 Handler</v>
      </c>
      <c r="B36" s="181"/>
      <c r="C36" s="354" t="str" cm="1">
        <f t="array" ref="C36">IFERROR(_xlfn.IFS($C$14=0,"",$C$14="n/a","",$C$14='Drop Down Lists'!B14,IFERROR(VLOOKUP($C$14,'Drop Down Lists'!$B$4:$AO$63,2,FALSE),"")),"")</f>
        <v/>
      </c>
      <c r="D36" s="354"/>
      <c r="E36" s="354"/>
      <c r="F36" s="354"/>
      <c r="G36" s="204"/>
      <c r="H36" s="206"/>
      <c r="I36" s="206"/>
      <c r="J36" s="205"/>
      <c r="K36" s="266"/>
      <c r="L36" s="132" t="s">
        <v>53</v>
      </c>
      <c r="M36" s="130" t="str">
        <f>IF(C34&lt;&gt;"",C34,"This component requires the DemoData3 Client URL")</f>
        <v>https://www.linkedin.com/in/jo-ann-balsamo/</v>
      </c>
      <c r="N36" s="130"/>
    </row>
    <row r="37" spans="1:16" ht="20.100000000000001" customHeight="1" x14ac:dyDescent="0.55000000000000004">
      <c r="A37" s="660" t="str" cm="1">
        <f t="array" ref="A37">_xlfn.IFS($C$14=0, "", $C$14="n/a", "", $C$14&gt;0, IFERROR(VLOOKUP($C$14,'Drop Down Lists'!$B$4:$AO$63,3,FALSE),""))</f>
        <v>GENINTEGRATION 31 Issuer</v>
      </c>
      <c r="B37" s="661"/>
      <c r="C37" s="654"/>
      <c r="D37" s="655"/>
      <c r="E37" s="655"/>
      <c r="F37" s="655"/>
      <c r="G37" s="652" t="str" cm="1">
        <f t="array" ref="G37">TRIM(_xlfn.IFS($C$14=0,"",$C$14="n/a","",$C$14&gt;0,IFERROR(VLOOKUP($C$14,'Drop Down Lists'!$B$4:$AO$63,4,FALSE),"This Component has not been configured yet")))</f>
        <v>https://www.linkedin.com/in/jo-ann-balsamo</v>
      </c>
      <c r="H37" s="652"/>
      <c r="I37" s="652"/>
      <c r="J37" s="653"/>
      <c r="L37" s="132" t="s">
        <v>54</v>
      </c>
      <c r="M37" s="130" t="str">
        <f>IF(C34&lt;&gt;"",_xlfn.CONCAT(""&amp;($C$34)&amp;"/DemoData27set"&amp;""),"This component requires the DemoData3 Client URL")</f>
        <v>https://www.linkedin.com/in/jo-ann-balsamo//DemoData27set</v>
      </c>
      <c r="N37" s="130"/>
    </row>
    <row r="38" spans="1:16" ht="20.100000000000001" customHeight="1" x14ac:dyDescent="0.55000000000000004">
      <c r="A38" s="660" t="str" cm="1">
        <f t="array" ref="A38">_xlfn.IFS($C$14=0, "", $C$14="n/a", "", $C$14&gt;0, IFERROR(VLOOKUP($C$14,'Drop Down Lists'!$B$4:$AO$63,5,FALSE),""))</f>
        <v>CID</v>
      </c>
      <c r="B38" s="661"/>
      <c r="C38" s="648"/>
      <c r="D38" s="649"/>
      <c r="E38" s="649"/>
      <c r="F38" s="649"/>
      <c r="G38" s="656" t="str" cm="1">
        <f t="array" ref="G38">TRIM(_xlfn.IFS($C$14=0,"",$C$14="n/a","",$C$14&gt;0,IFERROR(VLOOKUP($C$14,'Drop Down Lists'!$B$4:$AO$63,6,FALSE),"")))</f>
        <v>This component to be provided by the client</v>
      </c>
      <c r="H38" s="656"/>
      <c r="I38" s="656"/>
      <c r="J38" s="657"/>
      <c r="L38" s="132" t="s">
        <v>55</v>
      </c>
      <c r="M38" s="130" t="s">
        <v>56</v>
      </c>
      <c r="N38" s="130"/>
    </row>
    <row r="39" spans="1:16" ht="20.100000000000001" customHeight="1" x14ac:dyDescent="0.55000000000000004">
      <c r="A39" s="660" t="str" cm="1">
        <f t="array" ref="A39">_xlfn.IFS($C$14=0, "", $C$14="n/a", "", $C$14&gt;0, IFERROR(VLOOKUP($C$14,'Drop Down Lists'!$B$4:$AO$63,7,FALSE),""))</f>
        <v>ALU</v>
      </c>
      <c r="B39" s="661"/>
      <c r="C39" s="648"/>
      <c r="D39" s="649"/>
      <c r="E39" s="649"/>
      <c r="F39" s="649"/>
      <c r="G39" s="690" t="str" cm="1">
        <f t="array" ref="G39">TRIM(_xlfn.IFS($C$14=0,"",$C$14="n/a","",$C$14&gt;0,IFERROR(VLOOKUP($C$14,'Drop Down Lists'!$B$4:$AO$63,8,FALSE),"This Component has not been configured yet")))</f>
        <v>Please Selct an LMS Environment from the drop-down menu</v>
      </c>
      <c r="H39" s="690"/>
      <c r="I39" s="690"/>
      <c r="J39" s="691"/>
      <c r="L39" s="133" t="s">
        <v>57</v>
      </c>
      <c r="M39" s="692"/>
      <c r="N39" s="692"/>
    </row>
    <row r="40" spans="1:16" ht="20.100000000000001" customHeight="1" x14ac:dyDescent="0.55000000000000004">
      <c r="A40" s="660" t="str" cm="1">
        <f t="array" ref="A40">_xlfn.IFS($C$14=0, "", $C$14="n/a", "", $C$14&gt;0, IFERROR(VLOOKUP($C$14,'Drop Down Lists'!$B$4:$AO$63,9,FALSE),""))</f>
        <v>DemoData27 Set URL</v>
      </c>
      <c r="B40" s="661"/>
      <c r="C40" s="648"/>
      <c r="D40" s="649"/>
      <c r="E40" s="649"/>
      <c r="F40" s="649"/>
      <c r="G40" s="656" t="str" cm="1">
        <f t="array" ref="G40">TRIM(_xlfn.IFS($C$14=0,"",$C$14="n/a","",$C$14&gt;0,IFERROR(VLOOKUP($C$14,'Drop Down Lists'!$B$4:$AO$63,10,FALSE),"This Component has not been configured yet")))</f>
        <v>Please Selct an LMS Environment from the drop-down menu</v>
      </c>
      <c r="H40" s="656"/>
      <c r="I40" s="656"/>
      <c r="J40" s="657"/>
      <c r="L40" s="132" t="s">
        <v>58</v>
      </c>
      <c r="M40" s="674" t="str" cm="1">
        <f t="array" ref="M40">_xlfn.IFS($C$14="LM7 - GENINTEGRATION 31",_xlfn.CONCAT("DemoData.com "&amp;UPPER(SUBSTITUTE(Concats!$A$8,"/",""))&amp;" GENINTEGRATION 31"), $C$14="LMS8 - GENINTEGRATION 31", "= DemoData3 Deployment ID", TRUE,"")</f>
        <v/>
      </c>
      <c r="N40" s="674"/>
    </row>
    <row r="41" spans="1:16" ht="20.100000000000001" customHeight="1" x14ac:dyDescent="0.55000000000000004">
      <c r="A41" s="660" t="str" cm="1">
        <f t="array" ref="A41">_xlfn.IFS($C$14=0, "", $C$14="n/a", "", $C$14&gt;0, IFERROR(VLOOKUP($C$14,'Drop Down Lists'!$B$4:$AO$63,11,FALSE),""))</f>
        <v>Deployment ID</v>
      </c>
      <c r="B41" s="661"/>
      <c r="C41" s="650"/>
      <c r="D41" s="651"/>
      <c r="E41" s="651"/>
      <c r="F41" s="651"/>
      <c r="G41" s="685" t="str" cm="1">
        <f t="array" ref="G41">TRIM(_xlfn.IFS($C$14=0,"",$C$14="n/a","",$C$14&gt;0,IFERROR(VLOOKUP($C$14,'Drop Down Lists'!$B$4:$AO$63,12,FALSE),"")))</f>
        <v>This component to be provided by the client</v>
      </c>
      <c r="H41" s="685"/>
      <c r="I41" s="685"/>
      <c r="J41" s="686"/>
      <c r="L41" s="132" t="s">
        <v>59</v>
      </c>
      <c r="M41" s="674" t="str">
        <f ca="1">IF(C8&lt;&gt;"",_xlfn.CONCAT("LM7 GENINTEGRATION 31 for DemoData.com and "&amp;SUBSTITUTE($C$8,"_"," ")&amp;""),"This component requires the Client/Program Name")</f>
        <v>LM7 GENINTEGRATION 31 for DemoData.com and INTEGRATION AUTO SHEET</v>
      </c>
      <c r="N41" s="674"/>
    </row>
    <row r="42" spans="1:16" s="107" customFormat="1" ht="20.100000000000001" customHeight="1" x14ac:dyDescent="0.55000000000000004">
      <c r="A42" s="765" t="str" cm="1">
        <f t="array" ref="A42">_xlfn.IFS($C$14=0, "", $C$14="n/a", "", $C$14&gt;0, IFERROR(VLOOKUP($C$14,'Drop Down Lists'!$B$4:$AO$63,13,FALSE),""))</f>
        <v>GENINTEGRATION 31 Response</v>
      </c>
      <c r="B42" s="766"/>
      <c r="C42" s="109"/>
      <c r="D42" s="109"/>
      <c r="E42" s="109"/>
      <c r="F42" s="109"/>
      <c r="G42" s="110"/>
      <c r="H42" s="110"/>
      <c r="I42" s="110"/>
      <c r="J42" s="111"/>
      <c r="K42" s="266"/>
      <c r="L42" s="132" t="s">
        <v>45</v>
      </c>
      <c r="M42" s="674" t="s">
        <v>60</v>
      </c>
      <c r="N42" s="674"/>
      <c r="O42" s="262"/>
      <c r="P42" s="262"/>
    </row>
    <row r="43" spans="1:16" ht="20.100000000000001" customHeight="1" x14ac:dyDescent="0.55000000000000004">
      <c r="A43" s="660" t="str" cm="1">
        <f t="array" ref="A43">_xlfn.IFS($C$14=0, "", $C$14="n/a", "", $C$14&gt;0, IFERROR(VLOOKUP($C$14,'Drop Down Lists'!$B$4:$AO$63,14,FALSE),""))</f>
        <v>Issuer</v>
      </c>
      <c r="B43" s="661"/>
      <c r="C43" s="687" t="str" cm="1">
        <f t="array" ref="C43">TRIM(IFERROR(_xlfn.IFS($C$14=0,"",$C$14="n/a","",$C$14&gt;0,IFERROR(VLOOKUP($C$14,'Drop Down Lists'!$B$4:$AO$63,15,FALSE),"This Component has not been configured yet")),"This component has not been configured yet"))</f>
        <v>https://www.linkedin.com/in/jo-ann-balsamo//NONCE-nonce-NONCE2-nonce3-nonce</v>
      </c>
      <c r="D43" s="688"/>
      <c r="E43" s="688"/>
      <c r="F43" s="688"/>
      <c r="G43" s="688"/>
      <c r="H43" s="688"/>
      <c r="I43" s="688"/>
      <c r="J43" s="689"/>
      <c r="L43" s="132" t="s">
        <v>61</v>
      </c>
      <c r="M43" s="674" t="s">
        <v>62</v>
      </c>
      <c r="N43" s="674"/>
    </row>
    <row r="44" spans="1:16" ht="20.100000000000001" customHeight="1" x14ac:dyDescent="0.55000000000000004">
      <c r="A44" s="660" t="str" cm="1">
        <f t="array" ref="A44">_xlfn.IFS($C$14=0, "", $C$14="n/a", "", $C$14&gt;0, IFERROR(VLOOKUP($C$14,'Drop Down Lists'!$B$4:$AO$63,16,FALSE),""))</f>
        <v>CID</v>
      </c>
      <c r="B44" s="661"/>
      <c r="C44" s="757" t="str" cm="1">
        <f t="array" ref="C44">TRIM(_xlfn.IFS($C$14=0,"",$C$14="n/a","",$C$14&gt;0,IFERROR(VLOOKUP($C$14,'Drop Down Lists'!$B$4:$AO$63,17,FALSE),"This Component has not been configured yet")))</f>
        <v>This component will be configured by DemoData3</v>
      </c>
      <c r="D44" s="758"/>
      <c r="E44" s="764" t="str" cm="1">
        <f t="array" ref="E44">_xlfn.IFS($C$14="LM7 - GENINTEGRATION 31","Record DemoData3 Response HERE --&gt;", $C$14="LMS8 - GENINTEGRATION 31", "Record DemoData3 Response HERE --&gt;", $C$14="LMS1 - GENINTEGRATION 31 Link &amp; Course NAV", "Record DemoData3 Response HERE --&gt;",$C$14="LMS1 - GENINTEGRATION 31 - All Types of Placement", "Record DemoData3 Response HERE --&gt;",$C$14="LMS6 - GENINTEGRATION 31", "Record DemoData3 Response HERE --&gt;",TRUE,"")</f>
        <v>Record DemoData3 Response HERE --&gt;</v>
      </c>
      <c r="F44" s="764"/>
      <c r="G44" s="760"/>
      <c r="H44" s="761"/>
      <c r="I44" s="761"/>
      <c r="J44" s="762"/>
      <c r="L44" s="132" t="s">
        <v>63</v>
      </c>
      <c r="M44" s="674" t="s">
        <v>62</v>
      </c>
      <c r="N44" s="674"/>
    </row>
    <row r="45" spans="1:16" ht="20.100000000000001" customHeight="1" x14ac:dyDescent="0.55000000000000004">
      <c r="A45" s="660" t="str" cm="1">
        <f t="array" ref="A45">_xlfn.IFS($C$14=0, "", $C$14="n/a", "", $C$14&gt;0, IFERROR(VLOOKUP($C$14,'Drop Down Lists'!$B$4:$AO$63,18,FALSE),""))</f>
        <v>Deployment ID</v>
      </c>
      <c r="B45" s="661"/>
      <c r="C45" s="757" t="str" cm="1">
        <f t="array" ref="C45">TRIM(_xlfn.IFS($C$14=0,"",$C$14="n/a","",$C$14&gt;0,IFERROR(IF(J1="LEGACY",VLOOKUP($C$14,'Drop Down Lists'!$B$4:$AO$63,19,FALSE),VLOOKUP($C$14,'Drop Down Lists'!$B$4:$AO$63,20,FALSE)),"This Component has not been configured yet")))</f>
        <v>This component will be configured by DemoData3</v>
      </c>
      <c r="D45" s="758"/>
      <c r="E45" s="764" t="str" cm="1">
        <f t="array" ref="E45">_xlfn.IFS($C$14="LM7 - GENINTEGRATION 31","Record DemoData3 Response HERE --&gt;", $C$14="LMS8 - GENINTEGRATION 31", "Record DemoData3 Response HERE --&gt;", $C$14="LMS1 - GENINTEGRATION 31 Link &amp; Course NAV", "Record DemoData3 Response HERE --&gt;",$C$14="LMS1 - GENINTEGRATION 31 - All Types of Placement", "Record DemoData3 Response HERE --&gt;",$C$14="LMS6 - GENINTEGRATION 31", "Record DemoData3 Response HERE --&gt;",TRUE,"")</f>
        <v>Record DemoData3 Response HERE --&gt;</v>
      </c>
      <c r="F45" s="764"/>
      <c r="G45" s="763"/>
      <c r="H45" s="761"/>
      <c r="I45" s="761"/>
      <c r="J45" s="762"/>
      <c r="L45" s="132" t="s">
        <v>64</v>
      </c>
      <c r="M45" s="674" t="str">
        <f>IF(C34&lt;&gt;"",C34,"This componet requires the DemoData3 Client URL")</f>
        <v>https://www.linkedin.com/in/jo-ann-balsamo/</v>
      </c>
      <c r="N45" s="674"/>
    </row>
    <row r="46" spans="1:16" ht="20.100000000000001" customHeight="1" x14ac:dyDescent="0.55000000000000004">
      <c r="A46" s="660" t="str" cm="1">
        <f t="array" ref="A46">_xlfn.IFS($C$14=0,"",$C$14="n/a","",$C$14&gt;0,IFERROR(IF(VLOOKUP($C$14,'Drop Down Lists'!$B$4:$AO$63,21,FALSE)&lt;&gt;"This Component is not neccessary",VLOOKUP($C$14,'Drop Down Lists'!$B$4:$AO$63,21,FALSE),""),""))</f>
        <v>LATEST ILU</v>
      </c>
      <c r="B46" s="661"/>
      <c r="C46" s="757" t="str" cm="1">
        <f t="array" ref="C46">TRIM(_xlfn.IFS($C$14=0,"",$C$14="n/a","",$C$14&gt;0,IFERROR(IF(J1="LEGACY",VLOOKUP($C$14,'Drop Down Lists'!$B$4:$AO$63,22,FALSE),VLOOKUP($C$14,'Drop Down Lists'!$B$4:$AO$63,23,FALSE)),"This Component has not been configured yet")))</f>
        <v>https://www.linkedin.com/in/jo-ann-balsamo</v>
      </c>
      <c r="D46" s="758"/>
      <c r="E46" s="758"/>
      <c r="F46" s="758"/>
      <c r="G46" s="758"/>
      <c r="H46" s="758"/>
      <c r="I46" s="758"/>
      <c r="J46" s="759"/>
      <c r="L46" s="132" t="s">
        <v>65</v>
      </c>
      <c r="M46" s="674" t="s">
        <v>610</v>
      </c>
      <c r="N46" s="674"/>
    </row>
    <row r="47" spans="1:16" ht="20.100000000000001" customHeight="1" x14ac:dyDescent="0.55000000000000004">
      <c r="A47" s="660" t="str" cm="1">
        <f t="array" ref="A47">_xlfn.IFS($C$14=0,"",$C$14="n/a","",$C$14&gt;0,IFERROR(IF(VLOOKUP($C$14,'Drop Down Lists'!$B$4:$AO$63,24,FALSE)&lt;&gt;"This Component is not neccessary",VLOOKUP($C$14,'Drop Down Lists'!$B$4:$AO$63,24,FALSE),""),""))</f>
        <v>LATEST Redirection URL</v>
      </c>
      <c r="B47" s="661"/>
      <c r="C47" s="754" t="str" cm="1">
        <f t="array" ref="C47">TRIM(_xlfn.IFS($C$14=0,"",$C$14="n/a","",$C$14&gt;0,IFERROR(IF(J1="LEGACY",VLOOKUP($C$14,'Drop Down Lists'!$B$4:$AO$63,25,FALSE),VLOOKUP($C$14,'Drop Down Lists'!$B$4:$AO$63,26,FALSE)),"This Component has not been configured yet")))</f>
        <v>https://www.linkedin.com/in/jo-ann-balsamo</v>
      </c>
      <c r="D47" s="755"/>
      <c r="E47" s="755"/>
      <c r="F47" s="755"/>
      <c r="G47" s="755"/>
      <c r="H47" s="755"/>
      <c r="I47" s="755"/>
      <c r="J47" s="756"/>
      <c r="L47" s="675" t="s">
        <v>66</v>
      </c>
      <c r="M47" s="675"/>
      <c r="N47" s="675"/>
    </row>
    <row r="48" spans="1:16" s="7" customFormat="1" ht="20.100000000000001" customHeight="1" x14ac:dyDescent="0.55000000000000004">
      <c r="A48" s="75" t="s">
        <v>895</v>
      </c>
      <c r="B48" s="20"/>
      <c r="C48" s="109"/>
      <c r="D48" s="109"/>
      <c r="E48" s="109"/>
      <c r="F48" s="109"/>
      <c r="G48" s="110"/>
      <c r="H48" s="110"/>
      <c r="I48" s="110"/>
      <c r="J48" s="111"/>
      <c r="K48" s="266"/>
      <c r="L48" s="132" t="s">
        <v>717</v>
      </c>
      <c r="M48" s="674" t="str">
        <f>IF(C14="LM7 - GENINTEGRATION 31",IF(C30&lt;&gt;"",_xlfn.CONCAT("OA_consumer_DemoData27="&amp;($C$30)&amp;""),"This componet requires the Client DemoData27"),"")</f>
        <v/>
      </c>
      <c r="N48" s="674"/>
      <c r="O48" s="262"/>
      <c r="P48" s="262"/>
    </row>
    <row r="49" spans="1:14" ht="20.100000000000001" customHeight="1" x14ac:dyDescent="0.55000000000000004">
      <c r="A49" s="660" t="str">
        <f>IF($J$2="LEGACY","Link to LEGACY", "Link to LATEST")</f>
        <v>Link to LATEST</v>
      </c>
      <c r="B49" s="661"/>
      <c r="C49" s="751" t="str" cm="1">
        <f t="array" ref="C49">TRIM(_xlfn.IFS($C$28=0,"This component has not been configured yet",$C$28="n/a","n/a",$C$28&gt;0,IF($J$1="LEGACY",HYPERLINK("https://www.linkedin.com/in/jo-ann-balsamo"),HYPERLINK("https://www.linkedin.com/in/jo-ann-balsamo"))))</f>
        <v>https://www.linkedin.com/in/jo-ann-balsamo</v>
      </c>
      <c r="D49" s="752"/>
      <c r="E49" s="752"/>
      <c r="F49" s="752"/>
      <c r="G49" s="752"/>
      <c r="H49" s="752"/>
      <c r="I49" s="752"/>
      <c r="J49" s="753"/>
      <c r="L49" s="132" t="s">
        <v>67</v>
      </c>
      <c r="M49" s="134"/>
      <c r="N49" s="130" t="str">
        <f>IF($C$14="LM7 - GENINTEGRATION 31",IF(M49&lt;&gt;"",_xlfn.CONCAT("custom_ap="&amp;($M$49)&amp;"")," &lt;-- This component requires a Custom AP to be entered"),"")</f>
        <v/>
      </c>
    </row>
    <row r="50" spans="1:14" ht="20.100000000000001" customHeight="1" x14ac:dyDescent="0.55000000000000004">
      <c r="A50" s="660" t="s">
        <v>896</v>
      </c>
      <c r="B50" s="661"/>
      <c r="C50" s="682" t="str" cm="1">
        <f t="array" ref="C50">TRIM(_xlfn.IFS($C$28=0,"This component has not been configured yet",$C$28="n/a","n/a",$C$28&gt;0,HYPERLINK(_xlfn.CONCAT("https://www.linkedin.com/in/"&amp;(Concats!$A$8)&amp;"AM"))))</f>
        <v>https://www.linkedin.com/in//linkedin/AM</v>
      </c>
      <c r="D50" s="683"/>
      <c r="E50" s="683"/>
      <c r="F50" s="683"/>
      <c r="G50" s="683"/>
      <c r="H50" s="683"/>
      <c r="I50" s="683"/>
      <c r="J50" s="684"/>
      <c r="L50" s="675" t="s">
        <v>633</v>
      </c>
      <c r="M50" s="675"/>
      <c r="N50" s="675"/>
    </row>
    <row r="51" spans="1:14" ht="20.100000000000001" customHeight="1" x14ac:dyDescent="0.55000000000000004">
      <c r="A51" s="660" t="s">
        <v>754</v>
      </c>
      <c r="B51" s="661"/>
      <c r="C51" s="682" t="str">
        <f>TRIM(IF(Concats!$A$8&lt;&gt;"",HYPERLINK(_xlfn.CONCAT("https://www.linkedin.com/in/"&amp;(SUBSTITUTE(Concats!$A$8,"/",""))&amp;"")),"This component has not been configured yet"))</f>
        <v>https://www.linkedin.com/in/linkedin</v>
      </c>
      <c r="D51" s="683"/>
      <c r="E51" s="683"/>
      <c r="F51" s="683"/>
      <c r="G51" s="683"/>
      <c r="H51" s="683"/>
      <c r="I51" s="683"/>
      <c r="J51" s="684"/>
      <c r="L51" s="132" t="s">
        <v>634</v>
      </c>
      <c r="M51" s="674" t="str" cm="1">
        <f t="array" ref="M51">_xlfn.IFS($C$14=0, "", $C$14="n/a", "", $C$14&gt;0, IFERROR(VLOOKUP($C$14,'Drop Down Lists'!$B$4:$AO$63,4,FALSE),"This Component has not been configured yet"))</f>
        <v>https://www.linkedin.com/in/jo-ann-balsamo</v>
      </c>
      <c r="N51" s="674"/>
    </row>
    <row r="52" spans="1:14" ht="20.100000000000001" customHeight="1" x14ac:dyDescent="0.55000000000000004">
      <c r="A52" s="660" t="s">
        <v>906</v>
      </c>
      <c r="B52" s="661"/>
      <c r="C52" s="676" t="str" cm="1">
        <f t="array" ref="C52">TRIM(_xlfn.IFS(Concats!$A$8="","This component has not been configured yet",Concats!$A$8="n/a","n/a",Concats!$A$8&lt;&gt;"",_xlfn.CONCAT(""&amp;(SUBSTITUTE(SUBSTITUTE(Concats!$A$8,"/",""),"-",".")&amp;"@PRODUCT4.com"))))</f>
        <v>linkedin@PRODUCT4.com</v>
      </c>
      <c r="D52" s="677"/>
      <c r="E52" s="677"/>
      <c r="F52" s="677"/>
      <c r="G52" s="677"/>
      <c r="H52" s="677"/>
      <c r="I52" s="677"/>
      <c r="J52" s="678"/>
      <c r="L52" s="132" t="s">
        <v>718</v>
      </c>
      <c r="M52" s="674" t="str" cm="1">
        <f t="array" ref="M52">IF($C$14="LM7 - GENINTEGRATION 31",(_xlfn.IFS($N$30=0,"This component requires the LM7 Developer Application ID",$N$30="n/a","",$N$30&gt;0,_xlfn.CONCAT("https://www.linkedin.com/in/jo-ann-balsamo"&amp;($N$30)&amp;"/jwks.json"))),"")</f>
        <v/>
      </c>
      <c r="N52" s="674"/>
    </row>
    <row r="53" spans="1:14" ht="20.100000000000001" customHeight="1" x14ac:dyDescent="0.55000000000000004">
      <c r="A53" s="660" t="s">
        <v>756</v>
      </c>
      <c r="B53" s="661"/>
      <c r="C53" s="679" t="str">
        <f>TRIM(IF(C27&gt;0,_xlfn.CONCAT("DemoData"&amp;(C27)&amp;""),"This component has not been configured yet"))</f>
        <v>DemoData2026</v>
      </c>
      <c r="D53" s="680"/>
      <c r="E53" s="680"/>
      <c r="F53" s="680"/>
      <c r="G53" s="680"/>
      <c r="H53" s="680"/>
      <c r="I53" s="680"/>
      <c r="J53" s="681"/>
      <c r="L53" s="132" t="s">
        <v>757</v>
      </c>
      <c r="M53" s="674" t="s">
        <v>610</v>
      </c>
      <c r="N53" s="674"/>
    </row>
    <row r="54" spans="1:14" ht="20.100000000000001" customHeight="1" x14ac:dyDescent="0.55000000000000004">
      <c r="A54" s="322"/>
      <c r="B54" s="8"/>
      <c r="C54" s="8"/>
      <c r="D54" s="8"/>
      <c r="E54" s="8"/>
      <c r="F54" s="8"/>
      <c r="G54" s="8"/>
      <c r="H54" s="8"/>
      <c r="I54" s="8"/>
      <c r="J54" s="8"/>
      <c r="L54" s="132" t="s">
        <v>900</v>
      </c>
      <c r="M54" s="674" t="str" cm="1">
        <f t="array" ref="M54">_xlfn.IFS($C$14=0, "", $C$14="n/a", "", $C$14&gt;0, IFERROR(VLOOKUP($C$14,'Drop Down Lists'!$B$4:$AO$63,8,FALSE),"This Component has not been configured yet"))</f>
        <v>Please Selct an LMS Environment from the drop-down menu</v>
      </c>
      <c r="N54" s="674"/>
    </row>
    <row r="55" spans="1:14" ht="20.100000000000001" customHeight="1" x14ac:dyDescent="0.55000000000000004">
      <c r="L55" s="171" t="str" cm="1">
        <f t="array" ref="L55">_xlfn.IFS($C$14="LM7 - GENINTEGRATION 31","", $C$14="LMS8 - GENINTEGRATION 31", "", $C$14="LMS1 - GENINTEGRATION 31 Link &amp; Course NAV", "",$C$14="LMS1 - GENINTEGRATION 31 - All Types of Placement", "",TRUE,"")</f>
        <v/>
      </c>
      <c r="M55" s="130" t="str" cm="1">
        <f t="array" ref="M55">_xlfn.IFS($C$14="LM7 - GENINTEGRATION 31","", $C$14="LMS8 - GENINTEGRATION 31", "", $C$14="LMS1 - GENINTEGRATION 31 Link &amp; Course NAV", "",$C$14="LMS1 - GENINTEGRATION 31 - All Types of Placement", "",TRUE,"")</f>
        <v/>
      </c>
      <c r="N55" s="131"/>
    </row>
    <row r="56" spans="1:14" ht="20.100000000000001" customHeight="1" x14ac:dyDescent="0.45">
      <c r="A56" s="323" t="s">
        <v>644</v>
      </c>
      <c r="B56" s="323"/>
      <c r="C56" s="77"/>
      <c r="D56" s="77" t="s">
        <v>68</v>
      </c>
      <c r="E56" s="77" t="s">
        <v>69</v>
      </c>
      <c r="F56" s="77" t="s">
        <v>70</v>
      </c>
      <c r="G56" s="77" t="s">
        <v>71</v>
      </c>
      <c r="H56" s="77" t="s">
        <v>72</v>
      </c>
      <c r="I56" s="77" t="s">
        <v>73</v>
      </c>
      <c r="J56" s="77" t="s">
        <v>74</v>
      </c>
      <c r="L56" s="172" t="str" cm="1">
        <f t="array" ref="L56">_xlfn.IFS($C$14="LM7 - GENINTEGRATION 31","", $C$14="LMS8 - GENINTEGRATION 31", "", $C$14="LMS1 - GENINTEGRATION 31 Link &amp; Course NAV", "",$C$14="LMS1 - GENINTEGRATION 31 - All Types of Placement", "",TRUE,"")</f>
        <v/>
      </c>
      <c r="M56" s="130" t="str" cm="1">
        <f t="array" ref="M56">_xlfn.IFS($C$14="LM7 - GENINTEGRATION 31","", $C$14="LMS8 - GENINTEGRATION 31", "", $C$14="LMS1 - GENINTEGRATION 31 Link &amp; Course NAV", "",$C$14="LMS1 - GENINTEGRATION 31 - All Types of Placement", "",TRUE,"")</f>
        <v/>
      </c>
      <c r="N56" s="173"/>
    </row>
    <row r="57" spans="1:14" ht="20.100000000000001" customHeight="1" x14ac:dyDescent="0.55000000000000004">
      <c r="A57" s="748" t="s">
        <v>628</v>
      </c>
      <c r="B57" s="748"/>
      <c r="C57" s="5" t="s">
        <v>75</v>
      </c>
      <c r="D57" s="5" t="str" cm="1">
        <f t="array" ref="D57">_xlfn.IFS($C$13='Drop Down Lists'!$AS$3,"6 PM",$C$13='Drop Down Lists'!$AS$4,"5 PM",$C$13='Drop Down Lists'!$AS$5,"4 PM",$C$13='Drop Down Lists'!$AS$6,"3 PM",$C$13='Drop Down Lists'!$AS$7,"3 PM",$C$13='Drop Down Lists'!$AS$8,"7 PM",TRUE,"6 PM")</f>
        <v>3 PM</v>
      </c>
      <c r="E57" s="5" t="str" cm="1">
        <f t="array" ref="E57">_xlfn.IFS($C$13='Drop Down Lists'!$AS$3,"6 PM",$C$13='Drop Down Lists'!$AS$4,"5 PM",$C$13='Drop Down Lists'!$AS$5,"4 PM",$C$13='Drop Down Lists'!$AS$6,"3 PM",$C$13='Drop Down Lists'!$AS$7,"3 PM",$C$13='Drop Down Lists'!$AS$8,"7 PM",TRUE,"6 PM")</f>
        <v>3 PM</v>
      </c>
      <c r="F57" s="5" t="str" cm="1">
        <f t="array" ref="F57">_xlfn.IFS($C$13='Drop Down Lists'!$AS$3,"6 PM",$C$13='Drop Down Lists'!$AS$4,"5 PM",$C$13='Drop Down Lists'!$AS$5,"4 PM",$C$13='Drop Down Lists'!$AS$6,"3 PM",$C$13='Drop Down Lists'!$AS$7,"3 PM",$C$13='Drop Down Lists'!$AS$8,"7 PM",TRUE,"6 PM")</f>
        <v>3 PM</v>
      </c>
      <c r="G57" s="5" t="str" cm="1">
        <f t="array" ref="G57">_xlfn.IFS($C$13='Drop Down Lists'!$AS$3,"6 PM",$C$13='Drop Down Lists'!$AS$4,"5 PM",$C$13='Drop Down Lists'!$AS$5,"4 PM",$C$13='Drop Down Lists'!$AS$6,"3 PM",$C$13='Drop Down Lists'!$AS$7,"3 PM",$C$13='Drop Down Lists'!$AS$8,"7 PM",TRUE,"6 PM")</f>
        <v>3 PM</v>
      </c>
      <c r="H57" s="5" t="str" cm="1">
        <f t="array" ref="H57">_xlfn.IFS($C$13='Drop Down Lists'!$AS$3,"6 PM",$C$13='Drop Down Lists'!$AS$4,"5 PM",$C$13='Drop Down Lists'!$AS$5,"4 PM",$C$13='Drop Down Lists'!$AS$6,"3 PM",$C$13='Drop Down Lists'!$AS$7,"3 PM",$C$13='Drop Down Lists'!$AS$8,"7 PM",TRUE,"6 PM")</f>
        <v>3 PM</v>
      </c>
      <c r="I57" s="5" t="str" cm="1">
        <f t="array" ref="I57">_xlfn.IFS($C$13='Drop Down Lists'!$AS$3,"6 PM",$C$13='Drop Down Lists'!$AS$4,"5 PM",$C$13='Drop Down Lists'!$AS$5,"4 PM",$C$13='Drop Down Lists'!$AS$6,"3 PM",$C$13='Drop Down Lists'!$AS$7,"3 PM",$C$13='Drop Down Lists'!$AS$8,"7 PM",TRUE,"6 PM")</f>
        <v>3 PM</v>
      </c>
      <c r="J57" s="5" t="str" cm="1">
        <f t="array" ref="J57">_xlfn.IFS($C$13='Drop Down Lists'!$AS$3,"6 PM",$C$13='Drop Down Lists'!$AS$4,"5 PM",$C$13='Drop Down Lists'!$AS$5,"4 PM",$C$13='Drop Down Lists'!$AS$6,"3 PM",$C$13='Drop Down Lists'!$AS$7,"3 PM",$C$13='Drop Down Lists'!$AS$8,"7 PM",TRUE,"6 PM")</f>
        <v>3 PM</v>
      </c>
      <c r="L57" s="172" t="str" cm="1">
        <f t="array" ref="L57">_xlfn.IFS($C$14="LM7 - GENINTEGRATION 31","", $C$14="LMS8 - GENINTEGRATION 31", "", $C$14="LMS1 - GENINTEGRATION 31 Link &amp; Course NAV", "",$C$14="LMS1 - GENINTEGRATION 31 - All Types of Placement", "",TRUE,"")</f>
        <v/>
      </c>
      <c r="M57" s="130" t="str" cm="1">
        <f t="array" ref="M57">_xlfn.IFS($C$14="LM7 - GENINTEGRATION 31","", $C$14="LMS8 - GENINTEGRATION 31", "", $C$14="LMS1 - GENINTEGRATION 31 Link &amp; Course NAV", "",$C$14="LMS1 - GENINTEGRATION 31 - All Types of Placement", "",TRUE,"")</f>
        <v/>
      </c>
      <c r="N57" s="173"/>
    </row>
    <row r="58" spans="1:14" x14ac:dyDescent="0.55000000000000004">
      <c r="A58" s="749"/>
      <c r="B58" s="749"/>
      <c r="C58" s="5" t="s">
        <v>76</v>
      </c>
      <c r="D58" s="6" t="str" cm="1">
        <f t="array" ref="D58">_xlfn.IFS($C$13='Drop Down Lists'!$AS$3,"12 AM",$C$13='Drop Down Lists'!$AS$4,"11 PM",$C$13='Drop Down Lists'!$AS$5,"10 PM",$C$13='Drop Down Lists'!$AS$6,"9 PM",$C$13='Drop Down Lists'!$AS$7,"9 PM",$C$13='Drop Down Lists'!$AS$8,"1 AM",TRUE,"12 AM")</f>
        <v>9 PM</v>
      </c>
      <c r="E58" s="6" t="str" cm="1">
        <f t="array" ref="E58">_xlfn.IFS($C$13='Drop Down Lists'!$AS$3,"12 AM",$C$13='Drop Down Lists'!$AS$4,"11 PM",$C$13='Drop Down Lists'!$AS$5,"10 PM",$C$13='Drop Down Lists'!$AS$6,"9 PM",$C$13='Drop Down Lists'!$AS$7,"9 PM",$C$13='Drop Down Lists'!$AS$8,"1 AM",TRUE,"12 AM")</f>
        <v>9 PM</v>
      </c>
      <c r="F58" s="6" t="str" cm="1">
        <f t="array" ref="F58">_xlfn.IFS($C$13='Drop Down Lists'!$AS$3,"12 AM",$C$13='Drop Down Lists'!$AS$4,"11 PM",$C$13='Drop Down Lists'!$AS$5,"10 PM",$C$13='Drop Down Lists'!$AS$6,"9 PM",$C$13='Drop Down Lists'!$AS$7,"9 PM",$C$13='Drop Down Lists'!$AS$8,"1 AM",TRUE,"12 AM")</f>
        <v>9 PM</v>
      </c>
      <c r="G58" s="6" t="str" cm="1">
        <f t="array" ref="G58">_xlfn.IFS($C$13='Drop Down Lists'!$AS$3,"12 AM",$C$13='Drop Down Lists'!$AS$4,"11 PM",$C$13='Drop Down Lists'!$AS$5,"10 PM",$C$13='Drop Down Lists'!$AS$6,"9 PM",$C$13='Drop Down Lists'!$AS$7,"9 PM",$C$13='Drop Down Lists'!$AS$8,"1 AM",TRUE,"12 AM")</f>
        <v>9 PM</v>
      </c>
      <c r="H58" s="6" t="str" cm="1">
        <f t="array" ref="H58">_xlfn.IFS($C$13='Drop Down Lists'!$AS$3,"12 AM",$C$13='Drop Down Lists'!$AS$4,"11 PM",$C$13='Drop Down Lists'!$AS$5,"10 PM",$C$13='Drop Down Lists'!$AS$6,"9 PM",$C$13='Drop Down Lists'!$AS$7,"9 PM",$C$13='Drop Down Lists'!$AS$8,"1 AM",TRUE,"12 AM")</f>
        <v>9 PM</v>
      </c>
      <c r="I58" s="6" t="str" cm="1">
        <f t="array" ref="I58">_xlfn.IFS($C$13='Drop Down Lists'!$AS$3,"12 AM",$C$13='Drop Down Lists'!$AS$4,"11 PM",$C$13='Drop Down Lists'!$AS$5,"10 PM",$C$13='Drop Down Lists'!$AS$6,"9 PM",$C$13='Drop Down Lists'!$AS$7,"9 PM",$C$13='Drop Down Lists'!$AS$8,"1 AM",TRUE,"12 AM")</f>
        <v>9 PM</v>
      </c>
      <c r="J58" s="6" t="str" cm="1">
        <f t="array" ref="J58">_xlfn.IFS($C$13='Drop Down Lists'!$AS$3,"12 AM",$C$13='Drop Down Lists'!$AS$4,"11 PM",$C$13='Drop Down Lists'!$AS$5,"10 PM",$C$13='Drop Down Lists'!$AS$6,"9 PM",$C$13='Drop Down Lists'!$AS$7,"9 PM",$C$13='Drop Down Lists'!$AS$8,"1 AM",TRUE,"12 AM")</f>
        <v>9 PM</v>
      </c>
    </row>
    <row r="59" spans="1:14" ht="4.5" customHeight="1" x14ac:dyDescent="0.55000000000000004">
      <c r="A59" s="322"/>
      <c r="B59" s="8"/>
      <c r="C59" s="8"/>
      <c r="D59" s="9"/>
      <c r="E59" s="9"/>
      <c r="F59" s="9"/>
      <c r="G59" s="9"/>
      <c r="H59" s="9"/>
      <c r="I59" s="9"/>
      <c r="J59" s="9"/>
    </row>
    <row r="60" spans="1:14" x14ac:dyDescent="0.55000000000000004">
      <c r="A60" s="750" t="s">
        <v>629</v>
      </c>
      <c r="B60" s="750"/>
      <c r="C60" s="5" t="s">
        <v>75</v>
      </c>
      <c r="D60" s="5" t="str" cm="1">
        <f t="array" ref="D60">_xlfn.IFS($C$13='Drop Down Lists'!$AS$3,"6 PM",$C$13='Drop Down Lists'!$AS$4,"5 PM",$C$13='Drop Down Lists'!$AS$5,"4 PM",$C$13='Drop Down Lists'!$AS$6,"3 PM",$C$13='Drop Down Lists'!$AS$7,"3 PM",$C$13='Drop Down Lists'!$AS$8,"7 PM",TRUE,"6 PM")</f>
        <v>3 PM</v>
      </c>
      <c r="E60" s="5" t="str" cm="1">
        <f t="array" ref="E60">_xlfn.IFS($C$13='Drop Down Lists'!$AS$3,"6 PM",$C$13='Drop Down Lists'!$AS$4,"5 PM",$C$13='Drop Down Lists'!$AS$5,"4 PM",$C$13='Drop Down Lists'!$AS$6,"3 PM",$C$13='Drop Down Lists'!$AS$7,"3 PM",$C$13='Drop Down Lists'!$AS$8,"7 PM",TRUE,"6 PM")</f>
        <v>3 PM</v>
      </c>
      <c r="F60" s="5" t="str" cm="1">
        <f t="array" ref="F60">_xlfn.IFS($C$13='Drop Down Lists'!$AS$3,"6 PM",$C$13='Drop Down Lists'!$AS$4,"5 PM",$C$13='Drop Down Lists'!$AS$5,"4 PM",$C$13='Drop Down Lists'!$AS$6,"3 PM",$C$13='Drop Down Lists'!$AS$7,"3 PM",$C$13='Drop Down Lists'!$AS$8,"7 PM",TRUE,"6 PM")</f>
        <v>3 PM</v>
      </c>
      <c r="G60" s="5" t="str" cm="1">
        <f t="array" ref="G60">_xlfn.IFS($C$13='Drop Down Lists'!$AS$3,"6 PM",$C$13='Drop Down Lists'!$AS$4,"5 PM",$C$13='Drop Down Lists'!$AS$5,"4 PM",$C$13='Drop Down Lists'!$AS$6,"3 PM",$C$13='Drop Down Lists'!$AS$7,"3 PM",$C$13='Drop Down Lists'!$AS$8,"7 PM",TRUE,"6 PM")</f>
        <v>3 PM</v>
      </c>
      <c r="H60" s="5" t="str" cm="1">
        <f t="array" ref="H60">_xlfn.IFS($C$13='Drop Down Lists'!$AS$3,"6 PM",$C$13='Drop Down Lists'!$AS$4,"5 PM",$C$13='Drop Down Lists'!$AS$5,"4 PM",$C$13='Drop Down Lists'!$AS$6,"3 PM",$C$13='Drop Down Lists'!$AS$7,"3 PM",$C$13='Drop Down Lists'!$AS$8,"7 PM",TRUE,"6 PM")</f>
        <v>3 PM</v>
      </c>
      <c r="I60" s="5" t="str" cm="1">
        <f t="array" ref="I60">_xlfn.IFS($C$13='Drop Down Lists'!$AS$3,"6 PM",$C$13='Drop Down Lists'!$AS$4,"5 PM",$C$13='Drop Down Lists'!$AS$5,"4 PM",$C$13='Drop Down Lists'!$AS$6,"3 PM",$C$13='Drop Down Lists'!$AS$7,"3 PM",$C$13='Drop Down Lists'!$AS$8,"7 PM",TRUE,"6 PM")</f>
        <v>3 PM</v>
      </c>
      <c r="J60" s="5" t="str" cm="1">
        <f t="array" ref="J60">_xlfn.IFS($C$13='Drop Down Lists'!$AS$3,"6 PM",$C$13='Drop Down Lists'!$AS$4,"5 PM",$C$13='Drop Down Lists'!$AS$5,"4 PM",$C$13='Drop Down Lists'!$AS$6,"3 PM",$C$13='Drop Down Lists'!$AS$7,"3 PM",$C$13='Drop Down Lists'!$AS$8,"7 PM",TRUE,"6 PM")</f>
        <v>3 PM</v>
      </c>
    </row>
    <row r="61" spans="1:14" x14ac:dyDescent="0.55000000000000004">
      <c r="A61" s="749"/>
      <c r="B61" s="749"/>
      <c r="C61" s="5" t="s">
        <v>76</v>
      </c>
      <c r="D61" s="6" t="str" cm="1">
        <f t="array" ref="D61">_xlfn.IFS($C$13='Drop Down Lists'!$AS$3,"12 AM",$C$13='Drop Down Lists'!$AS$4,"11 PM",$C$13='Drop Down Lists'!$AS$5,"10 PM",$C$13='Drop Down Lists'!$AS$6,"9 PM",$C$13='Drop Down Lists'!$AS$7,"9 PM",$C$13='Drop Down Lists'!$AS$8,"1 AM",TRUE,"12 AM")</f>
        <v>9 PM</v>
      </c>
      <c r="E61" s="6" t="str" cm="1">
        <f t="array" ref="E61">_xlfn.IFS($C$13='Drop Down Lists'!$AS$3,"12 AM",$C$13='Drop Down Lists'!$AS$4,"11 PM",$C$13='Drop Down Lists'!$AS$5,"10 PM",$C$13='Drop Down Lists'!$AS$6,"9 PM",$C$13='Drop Down Lists'!$AS$7,"9 PM",$C$13='Drop Down Lists'!$AS$8,"1 AM",TRUE,"12 AM")</f>
        <v>9 PM</v>
      </c>
      <c r="F61" s="6" t="str" cm="1">
        <f t="array" ref="F61">_xlfn.IFS($C$13='Drop Down Lists'!$AS$3,"12 AM",$C$13='Drop Down Lists'!$AS$4,"11 PM",$C$13='Drop Down Lists'!$AS$5,"10 PM",$C$13='Drop Down Lists'!$AS$6,"9 PM",$C$13='Drop Down Lists'!$AS$7,"9 PM",$C$13='Drop Down Lists'!$AS$8,"1 AM",TRUE,"12 AM")</f>
        <v>9 PM</v>
      </c>
      <c r="G61" s="6" t="str" cm="1">
        <f t="array" ref="G61">_xlfn.IFS($C$13='Drop Down Lists'!$AS$3,"12 AM",$C$13='Drop Down Lists'!$AS$4,"11 PM",$C$13='Drop Down Lists'!$AS$5,"10 PM",$C$13='Drop Down Lists'!$AS$6,"9 PM",$C$13='Drop Down Lists'!$AS$7,"9 PM",$C$13='Drop Down Lists'!$AS$8,"1 AM",TRUE,"12 AM")</f>
        <v>9 PM</v>
      </c>
      <c r="H61" s="6" t="str" cm="1">
        <f t="array" ref="H61">_xlfn.IFS($C$13='Drop Down Lists'!$AS$3,"12 AM",$C$13='Drop Down Lists'!$AS$4,"11 PM",$C$13='Drop Down Lists'!$AS$5,"10 PM",$C$13='Drop Down Lists'!$AS$6,"9 PM",$C$13='Drop Down Lists'!$AS$7,"9 PM",$C$13='Drop Down Lists'!$AS$8,"1 AM",TRUE,"12 AM")</f>
        <v>9 PM</v>
      </c>
      <c r="I61" s="6" t="str" cm="1">
        <f t="array" ref="I61">_xlfn.IFS($C$13='Drop Down Lists'!$AS$3,"12 AM",$C$13='Drop Down Lists'!$AS$4,"11 PM",$C$13='Drop Down Lists'!$AS$5,"10 PM",$C$13='Drop Down Lists'!$AS$6,"9 PM",$C$13='Drop Down Lists'!$AS$7,"9 PM",$C$13='Drop Down Lists'!$AS$8,"1 AM",TRUE,"12 AM")</f>
        <v>9 PM</v>
      </c>
      <c r="J61" s="6" t="str" cm="1">
        <f t="array" ref="J61">_xlfn.IFS($C$13='Drop Down Lists'!$AS$3,"12 AM",$C$13='Drop Down Lists'!$AS$4,"11 PM",$C$13='Drop Down Lists'!$AS$5,"10 PM",$C$13='Drop Down Lists'!$AS$6,"9 PM",$C$13='Drop Down Lists'!$AS$7,"9 PM",$C$13='Drop Down Lists'!$AS$8,"1 AM",TRUE,"12 AM")</f>
        <v>9 PM</v>
      </c>
    </row>
    <row r="62" spans="1:14" ht="5.0999999999999996" customHeight="1" x14ac:dyDescent="0.55000000000000004">
      <c r="A62" s="322"/>
      <c r="B62" s="8"/>
      <c r="C62" s="8"/>
      <c r="D62" s="9"/>
      <c r="E62" s="9"/>
      <c r="F62" s="9"/>
      <c r="G62" s="9"/>
      <c r="H62" s="9"/>
      <c r="I62" s="9"/>
      <c r="J62" s="9"/>
    </row>
    <row r="63" spans="1:14" x14ac:dyDescent="0.55000000000000004">
      <c r="A63" s="750" t="s">
        <v>630</v>
      </c>
      <c r="B63" s="750"/>
      <c r="C63" s="5" t="s">
        <v>75</v>
      </c>
      <c r="D63" s="5" t="str" cm="1">
        <f t="array" ref="D63">_xlfn.IFS($C$13='Drop Down Lists'!$AS$3,"6 PM",$C$13='Drop Down Lists'!$AS$4,"5 PM",$C$13='Drop Down Lists'!$AS$5,"4 PM",$C$13='Drop Down Lists'!$AS$6,"3 PM",$C$13='Drop Down Lists'!$AS$7,"3 PM",$C$13='Drop Down Lists'!$AS$8,"7 PM",TRUE,"6 PM")</f>
        <v>3 PM</v>
      </c>
      <c r="E63" s="5" t="str" cm="1">
        <f t="array" ref="E63">_xlfn.IFS($C$13='Drop Down Lists'!$AS$3,"6 PM",$C$13='Drop Down Lists'!$AS$4,"5 PM",$C$13='Drop Down Lists'!$AS$5,"4 PM",$C$13='Drop Down Lists'!$AS$6,"3 PM",$C$13='Drop Down Lists'!$AS$7,"3 PM",$C$13='Drop Down Lists'!$AS$8,"7 PM",TRUE,"6 PM")</f>
        <v>3 PM</v>
      </c>
      <c r="F63" s="5" t="str" cm="1">
        <f t="array" ref="F63">_xlfn.IFS($C$13='Drop Down Lists'!$AS$3,"6 PM",$C$13='Drop Down Lists'!$AS$4,"5 PM",$C$13='Drop Down Lists'!$AS$5,"4 PM",$C$13='Drop Down Lists'!$AS$6,"3 PM",$C$13='Drop Down Lists'!$AS$7,"3 PM",$C$13='Drop Down Lists'!$AS$8,"7 PM",TRUE,"6 PM")</f>
        <v>3 PM</v>
      </c>
      <c r="G63" s="5" t="str" cm="1">
        <f t="array" ref="G63">_xlfn.IFS($C$13='Drop Down Lists'!$AS$3,"6 PM",$C$13='Drop Down Lists'!$AS$4,"5 PM",$C$13='Drop Down Lists'!$AS$5,"4 PM",$C$13='Drop Down Lists'!$AS$6,"3 PM",$C$13='Drop Down Lists'!$AS$7,"3 PM",$C$13='Drop Down Lists'!$AS$8,"7 PM",TRUE,"6 PM")</f>
        <v>3 PM</v>
      </c>
      <c r="H63" s="5" t="str" cm="1">
        <f t="array" ref="H63">_xlfn.IFS($C$13='Drop Down Lists'!$AS$3,"6 PM",$C$13='Drop Down Lists'!$AS$4,"5 PM",$C$13='Drop Down Lists'!$AS$5,"4 PM",$C$13='Drop Down Lists'!$AS$6,"3 PM",$C$13='Drop Down Lists'!$AS$7,"3 PM",$C$13='Drop Down Lists'!$AS$8,"7 PM",TRUE,"6 PM")</f>
        <v>3 PM</v>
      </c>
      <c r="I63" s="5" t="str" cm="1">
        <f t="array" ref="I63">_xlfn.IFS($C$13='Drop Down Lists'!$AS$3,"6 PM",$C$13='Drop Down Lists'!$AS$4,"5 PM",$C$13='Drop Down Lists'!$AS$5,"4 PM",$C$13='Drop Down Lists'!$AS$6,"3 PM",$C$13='Drop Down Lists'!$AS$7,"3 PM",$C$13='Drop Down Lists'!$AS$8,"7 PM",TRUE,"6 PM")</f>
        <v>3 PM</v>
      </c>
      <c r="J63" s="5" t="str" cm="1">
        <f t="array" ref="J63">_xlfn.IFS($C$13='Drop Down Lists'!$AS$3,"6 PM",$C$13='Drop Down Lists'!$AS$4,"5 PM",$C$13='Drop Down Lists'!$AS$5,"4 PM",$C$13='Drop Down Lists'!$AS$6,"3 PM",$C$13='Drop Down Lists'!$AS$7,"3 PM",$C$13='Drop Down Lists'!$AS$8,"7 PM",TRUE,"6 PM")</f>
        <v>3 PM</v>
      </c>
    </row>
    <row r="64" spans="1:14" x14ac:dyDescent="0.55000000000000004">
      <c r="A64" s="749"/>
      <c r="B64" s="749"/>
      <c r="C64" s="5" t="s">
        <v>76</v>
      </c>
      <c r="D64" s="6" t="str" cm="1">
        <f t="array" ref="D64">_xlfn.IFS($C$13='Drop Down Lists'!$AS$3,"12 AM",$C$13='Drop Down Lists'!$AS$4,"11 PM",$C$13='Drop Down Lists'!$AS$5,"10 PM",$C$13='Drop Down Lists'!$AS$6,"9 PM",$C$13='Drop Down Lists'!$AS$7,"9 PM",$C$13='Drop Down Lists'!$AS$8,"1 AM",TRUE,"12 AM")</f>
        <v>9 PM</v>
      </c>
      <c r="E64" s="6" t="str" cm="1">
        <f t="array" ref="E64">_xlfn.IFS($C$13='Drop Down Lists'!$AS$3,"12 AM",$C$13='Drop Down Lists'!$AS$4,"11 PM",$C$13='Drop Down Lists'!$AS$5,"10 PM",$C$13='Drop Down Lists'!$AS$6,"9 PM",$C$13='Drop Down Lists'!$AS$7,"9 PM",$C$13='Drop Down Lists'!$AS$8,"1 AM",TRUE,"12 AM")</f>
        <v>9 PM</v>
      </c>
      <c r="F64" s="6" t="str" cm="1">
        <f t="array" ref="F64">_xlfn.IFS($C$13='Drop Down Lists'!$AS$3,"12 AM",$C$13='Drop Down Lists'!$AS$4,"11 PM",$C$13='Drop Down Lists'!$AS$5,"10 PM",$C$13='Drop Down Lists'!$AS$6,"9 PM",$C$13='Drop Down Lists'!$AS$7,"9 PM",$C$13='Drop Down Lists'!$AS$8,"1 AM",TRUE,"12 AM")</f>
        <v>9 PM</v>
      </c>
      <c r="G64" s="6" t="str" cm="1">
        <f t="array" ref="G64">_xlfn.IFS($C$13='Drop Down Lists'!$AS$3,"12 AM",$C$13='Drop Down Lists'!$AS$4,"11 PM",$C$13='Drop Down Lists'!$AS$5,"10 PM",$C$13='Drop Down Lists'!$AS$6,"9 PM",$C$13='Drop Down Lists'!$AS$7,"9 PM",$C$13='Drop Down Lists'!$AS$8,"1 AM",TRUE,"12 AM")</f>
        <v>9 PM</v>
      </c>
      <c r="H64" s="6" t="str" cm="1">
        <f t="array" ref="H64">_xlfn.IFS($C$13='Drop Down Lists'!$AS$3,"12 AM",$C$13='Drop Down Lists'!$AS$4,"11 PM",$C$13='Drop Down Lists'!$AS$5,"10 PM",$C$13='Drop Down Lists'!$AS$6,"9 PM",$C$13='Drop Down Lists'!$AS$7,"9 PM",$C$13='Drop Down Lists'!$AS$8,"1 AM",TRUE,"12 AM")</f>
        <v>9 PM</v>
      </c>
      <c r="I64" s="6" t="str" cm="1">
        <f t="array" ref="I64">_xlfn.IFS($C$13='Drop Down Lists'!$AS$3,"12 AM",$C$13='Drop Down Lists'!$AS$4,"11 PM",$C$13='Drop Down Lists'!$AS$5,"10 PM",$C$13='Drop Down Lists'!$AS$6,"9 PM",$C$13='Drop Down Lists'!$AS$7,"9 PM",$C$13='Drop Down Lists'!$AS$8,"1 AM",TRUE,"12 AM")</f>
        <v>9 PM</v>
      </c>
      <c r="J64" s="6" t="str" cm="1">
        <f t="array" ref="J64">_xlfn.IFS($C$13='Drop Down Lists'!$AS$3,"12 AM",$C$13='Drop Down Lists'!$AS$4,"11 PM",$C$13='Drop Down Lists'!$AS$5,"10 PM",$C$13='Drop Down Lists'!$AS$6,"9 PM",$C$13='Drop Down Lists'!$AS$7,"9 PM",$C$13='Drop Down Lists'!$AS$8,"1 AM",TRUE,"12 AM")</f>
        <v>9 PM</v>
      </c>
    </row>
    <row r="65" spans="1:10" ht="5.0999999999999996" customHeight="1" x14ac:dyDescent="0.55000000000000004">
      <c r="A65" s="322"/>
      <c r="B65" s="8"/>
      <c r="C65" s="8"/>
      <c r="D65" s="9"/>
      <c r="E65" s="9"/>
      <c r="F65" s="9"/>
      <c r="G65" s="9"/>
      <c r="H65" s="9"/>
      <c r="I65" s="9"/>
      <c r="J65" s="9"/>
    </row>
    <row r="68" spans="1:10" x14ac:dyDescent="0.55000000000000004">
      <c r="C68" s="13"/>
    </row>
    <row r="2024" spans="2:11" x14ac:dyDescent="0.55000000000000004">
      <c r="B2024" s="166"/>
      <c r="C2024" s="166"/>
      <c r="D2024" s="166"/>
      <c r="E2024" s="166"/>
      <c r="F2024" s="166"/>
      <c r="G2024" s="166"/>
      <c r="H2024" s="166"/>
      <c r="I2024" s="166"/>
      <c r="J2024" s="166"/>
      <c r="K2024" s="273"/>
    </row>
    <row r="2025" spans="2:11" x14ac:dyDescent="0.55000000000000004">
      <c r="B2025" s="166"/>
      <c r="C2025" s="166"/>
      <c r="D2025" s="166"/>
      <c r="E2025" s="166"/>
      <c r="F2025" s="166"/>
      <c r="G2025" s="166"/>
      <c r="H2025" s="166"/>
      <c r="I2025" s="166"/>
      <c r="J2025" s="166"/>
      <c r="K2025" s="273"/>
    </row>
    <row r="2026" spans="2:11" x14ac:dyDescent="0.55000000000000004">
      <c r="B2026" s="166"/>
      <c r="C2026" s="166"/>
      <c r="D2026" s="166"/>
      <c r="E2026" s="166"/>
      <c r="F2026" s="166"/>
      <c r="G2026" s="166"/>
      <c r="H2026" s="166"/>
      <c r="I2026" s="166"/>
      <c r="J2026" s="166"/>
      <c r="K2026" s="273"/>
    </row>
    <row r="2027" spans="2:11" x14ac:dyDescent="0.55000000000000004">
      <c r="B2027" s="166"/>
      <c r="C2027" s="166"/>
      <c r="D2027" s="166"/>
      <c r="E2027" s="166"/>
      <c r="F2027" s="166"/>
      <c r="G2027" s="166"/>
      <c r="H2027" s="166"/>
      <c r="I2027" s="166"/>
      <c r="J2027" s="166"/>
      <c r="K2027" s="273"/>
    </row>
    <row r="2028" spans="2:11" x14ac:dyDescent="0.55000000000000004">
      <c r="B2028" s="166"/>
      <c r="C2028" s="166"/>
      <c r="D2028" s="166"/>
      <c r="E2028" s="166"/>
      <c r="F2028" s="166"/>
      <c r="G2028" s="166"/>
      <c r="H2028" s="166"/>
      <c r="I2028" s="166"/>
      <c r="J2028" s="166"/>
      <c r="K2028" s="273"/>
    </row>
    <row r="2029" spans="2:11" x14ac:dyDescent="0.55000000000000004">
      <c r="B2029" s="166"/>
      <c r="C2029" s="166"/>
      <c r="D2029" s="166"/>
      <c r="E2029" s="166"/>
      <c r="F2029" s="166"/>
      <c r="G2029" s="166"/>
      <c r="H2029" s="166"/>
      <c r="I2029" s="166"/>
      <c r="J2029" s="166"/>
      <c r="K2029" s="273"/>
    </row>
    <row r="2030" spans="2:11" x14ac:dyDescent="0.55000000000000004">
      <c r="B2030" s="166"/>
      <c r="C2030" s="166"/>
      <c r="D2030" s="166"/>
      <c r="E2030" s="166"/>
      <c r="F2030" s="166"/>
      <c r="G2030" s="166"/>
      <c r="H2030" s="166"/>
      <c r="I2030" s="166"/>
      <c r="J2030" s="166"/>
      <c r="K2030" s="273"/>
    </row>
    <row r="2031" spans="2:11" x14ac:dyDescent="0.55000000000000004">
      <c r="B2031" s="166"/>
      <c r="C2031" s="166"/>
      <c r="D2031" s="166"/>
      <c r="E2031" s="166"/>
      <c r="F2031" s="166"/>
      <c r="G2031" s="166"/>
      <c r="H2031" s="166"/>
      <c r="I2031" s="166"/>
      <c r="J2031" s="166"/>
      <c r="K2031" s="273"/>
    </row>
    <row r="2032" spans="2:11" x14ac:dyDescent="0.55000000000000004">
      <c r="B2032" s="166"/>
      <c r="C2032" s="166"/>
      <c r="D2032" s="166"/>
      <c r="E2032" s="166"/>
      <c r="F2032" s="166"/>
      <c r="G2032" s="166"/>
      <c r="H2032" s="166"/>
      <c r="I2032" s="166"/>
      <c r="J2032" s="166"/>
      <c r="K2032" s="273"/>
    </row>
    <row r="2033" spans="2:11" x14ac:dyDescent="0.55000000000000004">
      <c r="B2033" s="166"/>
      <c r="C2033" s="166"/>
      <c r="D2033" s="166"/>
      <c r="E2033" s="166"/>
      <c r="F2033" s="166"/>
      <c r="G2033" s="166"/>
      <c r="H2033" s="166"/>
      <c r="I2033" s="166"/>
      <c r="J2033" s="166"/>
      <c r="K2033" s="273"/>
    </row>
    <row r="2034" spans="2:11" x14ac:dyDescent="0.55000000000000004">
      <c r="B2034" s="166"/>
      <c r="C2034" s="166"/>
      <c r="D2034" s="166"/>
      <c r="E2034" s="166"/>
      <c r="F2034" s="166"/>
      <c r="G2034" s="166"/>
      <c r="H2034" s="166"/>
      <c r="I2034" s="166"/>
      <c r="J2034" s="166"/>
      <c r="K2034" s="273"/>
    </row>
    <row r="2035" spans="2:11" x14ac:dyDescent="0.55000000000000004">
      <c r="B2035" s="166"/>
      <c r="C2035" s="166"/>
      <c r="D2035" s="166"/>
      <c r="E2035" s="166"/>
      <c r="F2035" s="166"/>
      <c r="G2035" s="166"/>
      <c r="H2035" s="166"/>
      <c r="I2035" s="166"/>
      <c r="J2035" s="166"/>
      <c r="K2035" s="273"/>
    </row>
    <row r="2036" spans="2:11" x14ac:dyDescent="0.55000000000000004">
      <c r="B2036" s="166"/>
      <c r="C2036" s="166"/>
      <c r="D2036" s="166"/>
      <c r="E2036" s="166"/>
      <c r="F2036" s="166"/>
      <c r="G2036" s="166"/>
      <c r="H2036" s="166"/>
      <c r="I2036" s="166"/>
      <c r="J2036" s="166"/>
      <c r="K2036" s="273"/>
    </row>
    <row r="2037" spans="2:11" x14ac:dyDescent="0.55000000000000004">
      <c r="B2037" s="166"/>
      <c r="C2037" s="166"/>
      <c r="D2037" s="166"/>
      <c r="E2037" s="166"/>
      <c r="F2037" s="166"/>
      <c r="G2037" s="166"/>
      <c r="H2037" s="166"/>
      <c r="I2037" s="166"/>
      <c r="J2037" s="166"/>
      <c r="K2037" s="273"/>
    </row>
    <row r="2038" spans="2:11" x14ac:dyDescent="0.55000000000000004">
      <c r="B2038" s="166"/>
      <c r="C2038" s="166"/>
      <c r="D2038" s="166"/>
      <c r="E2038" s="166"/>
      <c r="F2038" s="166"/>
      <c r="G2038" s="166"/>
      <c r="H2038" s="166"/>
      <c r="I2038" s="166"/>
      <c r="J2038" s="166"/>
      <c r="K2038" s="273"/>
    </row>
    <row r="2039" spans="2:11" x14ac:dyDescent="0.55000000000000004">
      <c r="B2039" s="166"/>
      <c r="C2039" s="166"/>
      <c r="D2039" s="166"/>
      <c r="E2039" s="166"/>
      <c r="F2039" s="166"/>
      <c r="G2039" s="166"/>
      <c r="H2039" s="166"/>
      <c r="I2039" s="166"/>
      <c r="J2039" s="166"/>
      <c r="K2039" s="273"/>
    </row>
    <row r="2040" spans="2:11" x14ac:dyDescent="0.55000000000000004">
      <c r="B2040" s="166"/>
      <c r="C2040" s="166"/>
      <c r="D2040" s="166"/>
      <c r="E2040" s="166"/>
      <c r="F2040" s="166"/>
      <c r="G2040" s="166"/>
      <c r="H2040" s="166"/>
      <c r="I2040" s="166"/>
      <c r="J2040" s="166"/>
      <c r="K2040" s="273"/>
    </row>
    <row r="2041" spans="2:11" x14ac:dyDescent="0.55000000000000004">
      <c r="B2041" s="166"/>
      <c r="C2041" s="166"/>
      <c r="D2041" s="166"/>
      <c r="E2041" s="166"/>
      <c r="F2041" s="166"/>
      <c r="G2041" s="166"/>
      <c r="H2041" s="166"/>
      <c r="I2041" s="166"/>
      <c r="J2041" s="166"/>
      <c r="K2041" s="273"/>
    </row>
    <row r="2042" spans="2:11" x14ac:dyDescent="0.55000000000000004">
      <c r="B2042" s="166"/>
      <c r="C2042" s="166"/>
      <c r="D2042" s="166"/>
      <c r="E2042" s="166"/>
      <c r="F2042" s="166"/>
      <c r="G2042" s="166"/>
      <c r="H2042" s="166"/>
      <c r="I2042" s="166"/>
      <c r="J2042" s="166"/>
      <c r="K2042" s="273"/>
    </row>
    <row r="2043" spans="2:11" x14ac:dyDescent="0.55000000000000004">
      <c r="B2043" s="166"/>
      <c r="C2043" s="166"/>
      <c r="D2043" s="166"/>
      <c r="E2043" s="166"/>
      <c r="F2043" s="166"/>
      <c r="G2043" s="166"/>
      <c r="H2043" s="166"/>
      <c r="I2043" s="166"/>
      <c r="J2043" s="166"/>
      <c r="K2043" s="273"/>
    </row>
    <row r="2044" spans="2:11" x14ac:dyDescent="0.55000000000000004">
      <c r="B2044" s="166"/>
      <c r="C2044" s="166"/>
      <c r="D2044" s="166"/>
      <c r="E2044" s="166"/>
      <c r="F2044" s="166"/>
      <c r="G2044" s="166"/>
      <c r="H2044" s="166"/>
      <c r="I2044" s="166"/>
      <c r="J2044" s="166"/>
      <c r="K2044" s="273"/>
    </row>
    <row r="2045" spans="2:11" x14ac:dyDescent="0.55000000000000004">
      <c r="B2045" s="166"/>
      <c r="C2045" s="166"/>
      <c r="D2045" s="166"/>
      <c r="E2045" s="166"/>
      <c r="F2045" s="166"/>
      <c r="G2045" s="166"/>
      <c r="H2045" s="166"/>
      <c r="I2045" s="166"/>
      <c r="J2045" s="166"/>
      <c r="K2045" s="273"/>
    </row>
    <row r="2046" spans="2:11" x14ac:dyDescent="0.55000000000000004">
      <c r="B2046" s="166"/>
      <c r="C2046" s="166"/>
      <c r="D2046" s="166"/>
      <c r="E2046" s="166"/>
      <c r="F2046" s="166"/>
      <c r="G2046" s="166"/>
      <c r="H2046" s="166"/>
      <c r="I2046" s="166"/>
      <c r="J2046" s="166"/>
      <c r="K2046" s="273"/>
    </row>
    <row r="2047" spans="2:11" x14ac:dyDescent="0.55000000000000004">
      <c r="B2047" s="166"/>
      <c r="C2047" s="166"/>
      <c r="D2047" s="166"/>
      <c r="E2047" s="166"/>
      <c r="F2047" s="166"/>
      <c r="G2047" s="166"/>
      <c r="H2047" s="166"/>
      <c r="I2047" s="166"/>
      <c r="J2047" s="166"/>
      <c r="K2047" s="273"/>
    </row>
    <row r="2048" spans="2:11" x14ac:dyDescent="0.55000000000000004">
      <c r="B2048" s="166"/>
      <c r="C2048" s="166"/>
      <c r="D2048" s="166"/>
      <c r="E2048" s="166"/>
      <c r="F2048" s="166"/>
      <c r="G2048" s="166"/>
      <c r="H2048" s="166"/>
      <c r="I2048" s="166"/>
      <c r="J2048" s="166"/>
      <c r="K2048" s="273"/>
    </row>
    <row r="2049" spans="2:12" x14ac:dyDescent="0.55000000000000004">
      <c r="B2049" s="166"/>
      <c r="C2049" s="166"/>
      <c r="D2049" s="166"/>
      <c r="E2049" s="166"/>
      <c r="F2049" s="166"/>
      <c r="G2049" s="166"/>
      <c r="H2049" s="166"/>
      <c r="I2049" s="166"/>
      <c r="J2049" s="166"/>
      <c r="K2049" s="273"/>
    </row>
    <row r="2050" spans="2:12" x14ac:dyDescent="0.55000000000000004">
      <c r="B2050" s="166"/>
      <c r="C2050" s="166"/>
      <c r="D2050" s="166"/>
      <c r="E2050" s="166"/>
      <c r="F2050" s="166"/>
      <c r="G2050" s="166"/>
      <c r="H2050" s="166"/>
      <c r="I2050" s="166"/>
      <c r="J2050" s="166"/>
      <c r="K2050" s="273"/>
    </row>
    <row r="2051" spans="2:12" x14ac:dyDescent="0.55000000000000004">
      <c r="B2051" s="166"/>
      <c r="C2051" s="166"/>
      <c r="D2051" s="166"/>
      <c r="E2051" s="166"/>
      <c r="F2051" s="166"/>
      <c r="G2051" s="166"/>
      <c r="H2051" s="166"/>
      <c r="I2051" s="166"/>
      <c r="J2051" s="166"/>
      <c r="K2051" s="273"/>
    </row>
    <row r="2052" spans="2:12" x14ac:dyDescent="0.55000000000000004">
      <c r="B2052" s="166"/>
      <c r="C2052" s="166"/>
      <c r="D2052" s="166"/>
      <c r="E2052" s="166"/>
      <c r="F2052" s="166"/>
      <c r="G2052" s="166"/>
      <c r="H2052" s="166"/>
      <c r="I2052" s="166"/>
      <c r="J2052" s="166"/>
      <c r="K2052" s="273"/>
    </row>
    <row r="2053" spans="2:12" x14ac:dyDescent="0.55000000000000004">
      <c r="B2053" s="166"/>
      <c r="C2053" s="166"/>
      <c r="D2053" s="166"/>
      <c r="E2053" s="166"/>
      <c r="F2053" s="166"/>
      <c r="G2053" s="166"/>
      <c r="H2053" s="166"/>
      <c r="I2053" s="166"/>
      <c r="J2053" s="166"/>
      <c r="K2053" s="273"/>
    </row>
    <row r="2054" spans="2:12" x14ac:dyDescent="0.55000000000000004">
      <c r="B2054" s="166"/>
      <c r="C2054" s="166"/>
      <c r="D2054" s="166"/>
      <c r="E2054" s="166"/>
      <c r="F2054" s="166"/>
      <c r="G2054" s="166"/>
      <c r="H2054" s="166"/>
      <c r="I2054" s="166"/>
      <c r="J2054" s="166"/>
      <c r="K2054" s="273"/>
    </row>
    <row r="2055" spans="2:12" x14ac:dyDescent="0.55000000000000004">
      <c r="B2055" s="166"/>
      <c r="C2055" s="166"/>
      <c r="D2055" s="166"/>
      <c r="E2055" s="166"/>
      <c r="F2055" s="166"/>
      <c r="G2055" s="166"/>
      <c r="H2055" s="166"/>
      <c r="I2055" s="166"/>
      <c r="J2055" s="166"/>
      <c r="K2055" s="273"/>
    </row>
    <row r="2056" spans="2:12" x14ac:dyDescent="0.55000000000000004">
      <c r="B2056" s="166"/>
      <c r="C2056" s="166"/>
      <c r="D2056" s="166"/>
      <c r="E2056" s="166"/>
      <c r="F2056" s="166"/>
      <c r="G2056" s="166"/>
      <c r="H2056" s="166"/>
      <c r="I2056" s="166"/>
      <c r="J2056" s="166"/>
      <c r="K2056" s="273"/>
    </row>
    <row r="2057" spans="2:12" x14ac:dyDescent="0.55000000000000004">
      <c r="B2057" s="166"/>
      <c r="C2057" s="166"/>
      <c r="D2057" s="166"/>
      <c r="E2057" s="166"/>
      <c r="F2057" s="166"/>
      <c r="G2057" s="166"/>
      <c r="H2057" s="166"/>
      <c r="I2057" s="166"/>
      <c r="J2057" s="166"/>
      <c r="K2057" s="273"/>
    </row>
    <row r="2058" spans="2:12" x14ac:dyDescent="0.55000000000000004">
      <c r="B2058" s="166"/>
      <c r="C2058" s="166"/>
      <c r="D2058" s="166"/>
      <c r="E2058" s="166"/>
      <c r="F2058" s="166"/>
      <c r="G2058" s="166"/>
      <c r="H2058" s="166"/>
      <c r="I2058" s="166"/>
      <c r="J2058" s="166"/>
      <c r="K2058" s="273"/>
    </row>
    <row r="2059" spans="2:12" x14ac:dyDescent="0.55000000000000004">
      <c r="B2059" s="166"/>
      <c r="C2059" s="166"/>
      <c r="D2059" s="166"/>
      <c r="E2059" s="166"/>
      <c r="F2059" s="166"/>
      <c r="G2059" s="166"/>
      <c r="H2059" s="166"/>
      <c r="I2059" s="166"/>
      <c r="J2059" s="166"/>
      <c r="K2059" s="273"/>
    </row>
    <row r="2060" spans="2:12" x14ac:dyDescent="0.55000000000000004">
      <c r="B2060" s="13" t="s">
        <v>77</v>
      </c>
      <c r="C2060" s="4"/>
      <c r="D2060" s="4"/>
      <c r="E2060" s="4"/>
      <c r="F2060" s="4"/>
      <c r="G2060" s="4"/>
      <c r="H2060" s="4"/>
      <c r="I2060" s="4"/>
      <c r="J2060" s="4"/>
      <c r="K2060" s="274"/>
      <c r="L2060" s="23"/>
    </row>
    <row r="2061" spans="2:12" x14ac:dyDescent="0.55000000000000004">
      <c r="B2061" s="166"/>
      <c r="C2061" s="166"/>
      <c r="D2061" s="166"/>
      <c r="E2061" s="166"/>
      <c r="F2061" s="166"/>
      <c r="G2061" s="166"/>
      <c r="H2061" s="166"/>
      <c r="I2061" s="166"/>
      <c r="J2061" s="166"/>
      <c r="K2061" s="273"/>
    </row>
    <row r="2062" spans="2:12" x14ac:dyDescent="0.55000000000000004">
      <c r="B2062" s="166"/>
      <c r="C2062" s="166"/>
      <c r="D2062" s="166"/>
      <c r="E2062" s="166"/>
      <c r="F2062" s="166"/>
      <c r="G2062" s="166"/>
      <c r="H2062" s="166"/>
      <c r="I2062" s="166"/>
      <c r="J2062" s="166"/>
      <c r="K2062" s="273"/>
    </row>
    <row r="2063" spans="2:12" x14ac:dyDescent="0.55000000000000004">
      <c r="B2063" s="166"/>
      <c r="C2063" s="166"/>
      <c r="D2063" s="166"/>
      <c r="E2063" s="166"/>
      <c r="F2063" s="166"/>
      <c r="G2063" s="166"/>
      <c r="H2063" s="166"/>
      <c r="I2063" s="166"/>
      <c r="J2063" s="166"/>
      <c r="K2063" s="273"/>
    </row>
    <row r="2064" spans="2:12" x14ac:dyDescent="0.55000000000000004">
      <c r="B2064" s="166"/>
      <c r="C2064" s="166"/>
      <c r="D2064" s="166"/>
      <c r="E2064" s="166"/>
      <c r="F2064" s="166"/>
      <c r="G2064" s="166"/>
      <c r="H2064" s="166"/>
      <c r="I2064" s="166"/>
      <c r="J2064" s="166"/>
      <c r="K2064" s="273"/>
    </row>
    <row r="2065" spans="2:13" x14ac:dyDescent="0.55000000000000004">
      <c r="B2065" s="166"/>
      <c r="C2065" s="166"/>
      <c r="D2065" s="166"/>
      <c r="E2065" s="166"/>
      <c r="F2065" s="166"/>
      <c r="G2065" s="166"/>
      <c r="H2065" s="166"/>
      <c r="I2065" s="166"/>
      <c r="J2065" s="166"/>
      <c r="K2065" s="273"/>
    </row>
    <row r="2066" spans="2:13" x14ac:dyDescent="0.55000000000000004">
      <c r="B2066" s="166"/>
      <c r="C2066" s="166"/>
      <c r="D2066" s="166"/>
      <c r="E2066" s="166"/>
      <c r="F2066" s="166"/>
      <c r="G2066" s="166"/>
      <c r="H2066" s="166"/>
      <c r="I2066" s="166"/>
      <c r="J2066" s="166"/>
      <c r="K2066" s="273"/>
    </row>
    <row r="2067" spans="2:13" x14ac:dyDescent="0.55000000000000004">
      <c r="B2067" s="166"/>
      <c r="C2067" s="166"/>
      <c r="D2067" s="166"/>
      <c r="E2067" s="166"/>
      <c r="F2067" s="166"/>
      <c r="G2067" s="166"/>
      <c r="H2067" s="166"/>
      <c r="I2067" s="166"/>
      <c r="J2067" s="166"/>
      <c r="K2067" s="273"/>
    </row>
    <row r="2068" spans="2:13" x14ac:dyDescent="0.55000000000000004">
      <c r="B2068" s="166"/>
      <c r="C2068" s="166"/>
      <c r="D2068" s="166"/>
      <c r="E2068" s="166"/>
      <c r="F2068" s="166"/>
      <c r="G2068" s="166"/>
      <c r="H2068" s="166"/>
      <c r="I2068" s="166"/>
      <c r="J2068" s="166"/>
      <c r="K2068" s="273"/>
    </row>
    <row r="2069" spans="2:13" x14ac:dyDescent="0.55000000000000004">
      <c r="B2069" s="166"/>
      <c r="C2069" s="166"/>
      <c r="D2069" s="166"/>
      <c r="E2069" s="166"/>
      <c r="F2069" s="166"/>
      <c r="G2069" s="166"/>
      <c r="H2069" s="166"/>
      <c r="I2069" s="166"/>
      <c r="J2069" s="166"/>
      <c r="K2069" s="273"/>
    </row>
    <row r="2070" spans="2:13" x14ac:dyDescent="0.55000000000000004">
      <c r="B2070" s="166"/>
      <c r="C2070" s="166"/>
      <c r="D2070" s="166"/>
      <c r="E2070" s="166"/>
      <c r="F2070" s="166"/>
      <c r="G2070" s="166"/>
      <c r="H2070" s="166"/>
      <c r="I2070" s="166"/>
      <c r="J2070" s="166"/>
      <c r="K2070" s="273"/>
    </row>
    <row r="2071" spans="2:13" x14ac:dyDescent="0.55000000000000004">
      <c r="B2071" s="166"/>
      <c r="C2071" s="166"/>
      <c r="D2071" s="166"/>
      <c r="E2071" s="166"/>
      <c r="F2071" s="166"/>
      <c r="G2071" s="166"/>
      <c r="H2071" s="166"/>
      <c r="I2071" s="166"/>
      <c r="J2071" s="166"/>
      <c r="K2071" s="273"/>
    </row>
    <row r="2072" spans="2:13" x14ac:dyDescent="0.55000000000000004">
      <c r="B2072" s="166"/>
      <c r="C2072" s="166"/>
      <c r="D2072" s="166"/>
      <c r="E2072" s="166"/>
      <c r="F2072" s="166"/>
      <c r="G2072" s="166"/>
      <c r="H2072" s="166"/>
      <c r="I2072" s="166"/>
      <c r="J2072" s="166"/>
      <c r="K2072" s="273"/>
      <c r="M2072" s="23"/>
    </row>
    <row r="2073" spans="2:13" x14ac:dyDescent="0.55000000000000004">
      <c r="B2073" s="166"/>
      <c r="C2073" s="166"/>
      <c r="D2073" s="166"/>
      <c r="E2073" s="166"/>
      <c r="F2073" s="166"/>
      <c r="G2073" s="166"/>
      <c r="H2073" s="166"/>
      <c r="I2073" s="166"/>
      <c r="J2073" s="166"/>
      <c r="K2073" s="273"/>
      <c r="M2073" s="23"/>
    </row>
    <row r="2074" spans="2:13" x14ac:dyDescent="0.55000000000000004">
      <c r="B2074" s="166"/>
      <c r="C2074" s="166"/>
      <c r="D2074" s="166"/>
      <c r="E2074" s="166"/>
      <c r="F2074" s="166"/>
      <c r="G2074" s="166"/>
      <c r="H2074" s="166"/>
      <c r="I2074" s="166"/>
      <c r="J2074" s="166"/>
      <c r="K2074" s="273"/>
    </row>
    <row r="2075" spans="2:13" x14ac:dyDescent="0.55000000000000004">
      <c r="B2075" s="166"/>
      <c r="C2075" s="166"/>
      <c r="D2075" s="166"/>
      <c r="E2075" s="166"/>
      <c r="F2075" s="166"/>
      <c r="G2075" s="166"/>
      <c r="H2075" s="166"/>
      <c r="I2075" s="166"/>
      <c r="J2075" s="166"/>
      <c r="K2075" s="273"/>
    </row>
    <row r="2076" spans="2:13" x14ac:dyDescent="0.55000000000000004">
      <c r="B2076" s="166"/>
      <c r="C2076" s="166"/>
      <c r="D2076" s="166"/>
      <c r="E2076" s="166"/>
      <c r="F2076" s="166"/>
      <c r="G2076" s="166"/>
      <c r="H2076" s="166"/>
      <c r="I2076" s="166"/>
      <c r="J2076" s="166"/>
      <c r="K2076" s="273"/>
    </row>
    <row r="2077" spans="2:13" x14ac:dyDescent="0.55000000000000004">
      <c r="B2077" s="166"/>
      <c r="C2077" s="166"/>
      <c r="D2077" s="166"/>
      <c r="E2077" s="166"/>
      <c r="F2077" s="166"/>
      <c r="G2077" s="166"/>
      <c r="H2077" s="166"/>
      <c r="I2077" s="166"/>
      <c r="J2077" s="166"/>
      <c r="K2077" s="273"/>
    </row>
    <row r="2078" spans="2:13" x14ac:dyDescent="0.55000000000000004">
      <c r="B2078" s="166"/>
      <c r="C2078" s="166"/>
      <c r="D2078" s="166"/>
      <c r="E2078" s="166"/>
      <c r="F2078" s="166"/>
      <c r="G2078" s="166"/>
      <c r="H2078" s="166"/>
      <c r="I2078" s="166"/>
      <c r="J2078" s="166"/>
      <c r="K2078" s="273"/>
    </row>
    <row r="2079" spans="2:13" x14ac:dyDescent="0.55000000000000004">
      <c r="L2079" s="23"/>
    </row>
    <row r="2081" spans="2:11" x14ac:dyDescent="0.55000000000000004">
      <c r="B2081" s="13"/>
      <c r="C2081" s="4"/>
      <c r="D2081" s="4"/>
      <c r="E2081" s="4"/>
      <c r="F2081" s="4"/>
      <c r="G2081" s="4"/>
      <c r="H2081" s="4"/>
      <c r="I2081" s="4"/>
      <c r="J2081" s="4"/>
      <c r="K2081" s="274"/>
    </row>
    <row r="2082" spans="2:11" x14ac:dyDescent="0.55000000000000004">
      <c r="B2082" s="13"/>
      <c r="C2082" s="4"/>
      <c r="D2082" s="4"/>
      <c r="E2082" s="4"/>
      <c r="F2082" s="4"/>
      <c r="G2082" s="4"/>
      <c r="H2082" s="4"/>
      <c r="I2082" s="4"/>
      <c r="J2082" s="4"/>
      <c r="K2082" s="274"/>
    </row>
    <row r="2083" spans="2:11" x14ac:dyDescent="0.55000000000000004">
      <c r="B2083" s="13"/>
      <c r="C2083" s="4"/>
      <c r="D2083" s="4"/>
      <c r="E2083" s="4"/>
      <c r="F2083" s="4"/>
      <c r="G2083" s="4"/>
      <c r="H2083" s="4"/>
      <c r="I2083" s="4"/>
      <c r="J2083" s="4"/>
      <c r="K2083" s="274"/>
    </row>
    <row r="2084" spans="2:11" x14ac:dyDescent="0.55000000000000004">
      <c r="B2084" s="13"/>
      <c r="C2084" s="4"/>
      <c r="D2084" s="4"/>
      <c r="E2084" s="4"/>
      <c r="F2084" s="4"/>
      <c r="G2084" s="4"/>
      <c r="H2084" s="4"/>
      <c r="I2084" s="4"/>
      <c r="J2084" s="4"/>
      <c r="K2084" s="274"/>
    </row>
    <row r="2085" spans="2:11" x14ac:dyDescent="0.55000000000000004">
      <c r="B2085" s="13"/>
      <c r="C2085" s="4"/>
      <c r="D2085" s="4"/>
      <c r="E2085" s="4"/>
      <c r="F2085" s="4"/>
      <c r="G2085" s="4"/>
      <c r="H2085" s="4"/>
      <c r="I2085" s="4"/>
      <c r="J2085" s="4"/>
      <c r="K2085" s="274"/>
    </row>
    <row r="2086" spans="2:11" x14ac:dyDescent="0.55000000000000004">
      <c r="B2086" s="13"/>
      <c r="C2086" s="4"/>
      <c r="D2086" s="4"/>
      <c r="E2086" s="4"/>
      <c r="F2086" s="4"/>
      <c r="G2086" s="4"/>
      <c r="H2086" s="4"/>
      <c r="I2086" s="4"/>
      <c r="J2086" s="4"/>
      <c r="K2086" s="274"/>
    </row>
    <row r="2087" spans="2:11" x14ac:dyDescent="0.55000000000000004">
      <c r="B2087" s="13"/>
      <c r="C2087" s="4"/>
      <c r="D2087" s="4"/>
      <c r="E2087" s="4"/>
      <c r="F2087" s="4"/>
      <c r="G2087" s="4"/>
      <c r="H2087" s="4"/>
      <c r="I2087" s="4"/>
      <c r="J2087" s="4"/>
      <c r="K2087" s="274"/>
    </row>
    <row r="2088" spans="2:11" x14ac:dyDescent="0.55000000000000004">
      <c r="B2088" s="13"/>
      <c r="C2088" s="4"/>
      <c r="D2088" s="4"/>
      <c r="E2088" s="4"/>
      <c r="F2088" s="4"/>
      <c r="G2088" s="4"/>
      <c r="H2088" s="4"/>
      <c r="I2088" s="4"/>
      <c r="J2088" s="4"/>
      <c r="K2088" s="274"/>
    </row>
    <row r="2089" spans="2:11" x14ac:dyDescent="0.55000000000000004">
      <c r="B2089" s="4"/>
      <c r="C2089" s="4"/>
      <c r="D2089" s="4"/>
      <c r="E2089" s="4"/>
      <c r="F2089" s="4"/>
      <c r="G2089" s="4"/>
      <c r="H2089" s="4"/>
      <c r="I2089" s="4"/>
      <c r="J2089" s="4"/>
      <c r="K2089" s="274"/>
    </row>
    <row r="2093" spans="2:11" x14ac:dyDescent="0.55000000000000004">
      <c r="B2093" s="4"/>
      <c r="C2093" s="4"/>
      <c r="D2093" s="4"/>
      <c r="E2093" s="4"/>
      <c r="F2093" s="4"/>
      <c r="G2093" s="4"/>
      <c r="H2093" s="4"/>
      <c r="I2093" s="4"/>
      <c r="J2093" s="4"/>
      <c r="K2093" s="274"/>
    </row>
    <row r="2095" spans="2:11" x14ac:dyDescent="0.55000000000000004">
      <c r="I2095" s="212"/>
    </row>
  </sheetData>
  <sheetProtection algorithmName="SHA-512" hashValue="GDgW82ECIuZZGLDXYMXpPDTRJoOrV/23Y8+sek9Z7s75SgqvBVrcAoHpn/gFuWSmlwmGBSYfPDYgfPMuvCopBw==" saltValue="O10Mi2/oQFBFU2ytLljElQ==" spinCount="100000" sheet="1" formatCells="0"/>
  <dataConsolidate/>
  <mergeCells count="139">
    <mergeCell ref="C4:F4"/>
    <mergeCell ref="C5:F5"/>
    <mergeCell ref="C6:F6"/>
    <mergeCell ref="L15:M15"/>
    <mergeCell ref="L5:M14"/>
    <mergeCell ref="L16:M16"/>
    <mergeCell ref="L17:M23"/>
    <mergeCell ref="L2:L3"/>
    <mergeCell ref="A38:B38"/>
    <mergeCell ref="A3:B3"/>
    <mergeCell ref="A8:B8"/>
    <mergeCell ref="A6:B6"/>
    <mergeCell ref="A14:B14"/>
    <mergeCell ref="A19:B19"/>
    <mergeCell ref="A20:B20"/>
    <mergeCell ref="F22:G22"/>
    <mergeCell ref="F23:G23"/>
    <mergeCell ref="A21:B21"/>
    <mergeCell ref="A12:B12"/>
    <mergeCell ref="A10:B10"/>
    <mergeCell ref="A11:B11"/>
    <mergeCell ref="A13:B13"/>
    <mergeCell ref="F11:G11"/>
    <mergeCell ref="F10:G10"/>
    <mergeCell ref="A42:B42"/>
    <mergeCell ref="A24:B24"/>
    <mergeCell ref="A23:B23"/>
    <mergeCell ref="A17:B17"/>
    <mergeCell ref="A16:B16"/>
    <mergeCell ref="A25:B25"/>
    <mergeCell ref="A34:B34"/>
    <mergeCell ref="A37:B37"/>
    <mergeCell ref="A43:B43"/>
    <mergeCell ref="A40:B40"/>
    <mergeCell ref="A35:B35"/>
    <mergeCell ref="A29:B29"/>
    <mergeCell ref="A27:B27"/>
    <mergeCell ref="A28:B28"/>
    <mergeCell ref="A22:B22"/>
    <mergeCell ref="A18:B18"/>
    <mergeCell ref="A57:B58"/>
    <mergeCell ref="A60:B61"/>
    <mergeCell ref="A63:B64"/>
    <mergeCell ref="C49:J49"/>
    <mergeCell ref="C47:J47"/>
    <mergeCell ref="C46:J46"/>
    <mergeCell ref="G44:J44"/>
    <mergeCell ref="G45:J45"/>
    <mergeCell ref="A49:B49"/>
    <mergeCell ref="A50:B50"/>
    <mergeCell ref="A52:B52"/>
    <mergeCell ref="A53:B53"/>
    <mergeCell ref="A51:B51"/>
    <mergeCell ref="A46:B46"/>
    <mergeCell ref="C51:J51"/>
    <mergeCell ref="A47:B47"/>
    <mergeCell ref="A45:B45"/>
    <mergeCell ref="A44:B44"/>
    <mergeCell ref="C44:D44"/>
    <mergeCell ref="E44:F44"/>
    <mergeCell ref="C45:D45"/>
    <mergeCell ref="E45:F45"/>
    <mergeCell ref="F17:G17"/>
    <mergeCell ref="F18:G18"/>
    <mergeCell ref="A32:B32"/>
    <mergeCell ref="M26:N26"/>
    <mergeCell ref="C28:G28"/>
    <mergeCell ref="C27:G27"/>
    <mergeCell ref="C29:G29"/>
    <mergeCell ref="I29:J29"/>
    <mergeCell ref="H26:J26"/>
    <mergeCell ref="I30:J30"/>
    <mergeCell ref="A30:B30"/>
    <mergeCell ref="C31:G31"/>
    <mergeCell ref="C30:G30"/>
    <mergeCell ref="M39:N39"/>
    <mergeCell ref="H33:J33"/>
    <mergeCell ref="C39:F39"/>
    <mergeCell ref="I27:J27"/>
    <mergeCell ref="I28:J28"/>
    <mergeCell ref="A1:F1"/>
    <mergeCell ref="A9:B9"/>
    <mergeCell ref="A5:B5"/>
    <mergeCell ref="A7:J7"/>
    <mergeCell ref="A2:B2"/>
    <mergeCell ref="A4:B4"/>
    <mergeCell ref="H12:J12"/>
    <mergeCell ref="F12:G12"/>
    <mergeCell ref="C10:D10"/>
    <mergeCell ref="C11:D11"/>
    <mergeCell ref="C12:D12"/>
    <mergeCell ref="C13:D13"/>
    <mergeCell ref="C14:D14"/>
    <mergeCell ref="C8:F8"/>
    <mergeCell ref="C9:F9"/>
    <mergeCell ref="H2:J2"/>
    <mergeCell ref="H3:J3"/>
    <mergeCell ref="H4:J4"/>
    <mergeCell ref="H5:J5"/>
    <mergeCell ref="H6:J6"/>
    <mergeCell ref="C2:F2"/>
    <mergeCell ref="C3:F3"/>
    <mergeCell ref="M54:N54"/>
    <mergeCell ref="M48:N48"/>
    <mergeCell ref="L47:N47"/>
    <mergeCell ref="C52:J52"/>
    <mergeCell ref="C53:J53"/>
    <mergeCell ref="M53:N53"/>
    <mergeCell ref="M51:N51"/>
    <mergeCell ref="M52:N52"/>
    <mergeCell ref="G40:J40"/>
    <mergeCell ref="C50:J50"/>
    <mergeCell ref="G41:J41"/>
    <mergeCell ref="M43:N43"/>
    <mergeCell ref="M44:N44"/>
    <mergeCell ref="M45:N45"/>
    <mergeCell ref="L50:N50"/>
    <mergeCell ref="M46:N46"/>
    <mergeCell ref="M40:N40"/>
    <mergeCell ref="C43:J43"/>
    <mergeCell ref="M41:N41"/>
    <mergeCell ref="M42:N42"/>
    <mergeCell ref="G39:J39"/>
    <mergeCell ref="I34:J34"/>
    <mergeCell ref="C34:D34"/>
    <mergeCell ref="A31:B31"/>
    <mergeCell ref="D32:H32"/>
    <mergeCell ref="C35:D35"/>
    <mergeCell ref="C38:F38"/>
    <mergeCell ref="C41:F41"/>
    <mergeCell ref="G37:J37"/>
    <mergeCell ref="C37:F37"/>
    <mergeCell ref="G38:J38"/>
    <mergeCell ref="I31:J31"/>
    <mergeCell ref="A39:B39"/>
    <mergeCell ref="A41:B41"/>
    <mergeCell ref="C40:F40"/>
    <mergeCell ref="F34:G34"/>
    <mergeCell ref="H35:I35"/>
  </mergeCells>
  <conditionalFormatting sqref="A2:B6">
    <cfRule type="cellIs" dxfId="893" priority="561" operator="equal">
      <formula>"This component is not necessary"</formula>
    </cfRule>
    <cfRule type="cellIs" dxfId="892" priority="555" operator="equal">
      <formula>"This component requires the D2L Client ID"</formula>
    </cfRule>
    <cfRule type="cellIs" dxfId="891" priority="547" operator="equal">
      <formula>"This component requires the BB Developer Application ID"</formula>
    </cfRule>
    <cfRule type="cellIs" dxfId="890" priority="551" operator="equal">
      <formula>"n/a"</formula>
    </cfRule>
    <cfRule type="cellIs" dxfId="889" priority="552" operator="equal">
      <formula>"This component requires the Client's D2L Deployment ID"</formula>
    </cfRule>
    <cfRule type="cellIs" dxfId="888" priority="553" operator="equal">
      <formula>"This component requires the D2L Keyset URL"</formula>
    </cfRule>
    <cfRule type="cellIs" dxfId="887" priority="556" operator="equal">
      <formula>"This component requires the D2L Client-Specific Environment"</formula>
    </cfRule>
    <cfRule type="cellIs" dxfId="886" priority="554" operator="equal">
      <formula>"This component requires the D2L OpenID Connect Auth. Endpoint"</formula>
    </cfRule>
  </conditionalFormatting>
  <conditionalFormatting sqref="A9:B9">
    <cfRule type="cellIs" dxfId="885" priority="2" operator="equal">
      <formula>"This component requires the APIdapter Client URL &amp; the Program GUID"</formula>
    </cfRule>
    <cfRule type="cellIs" dxfId="884" priority="3" operator="equal">
      <formula>"This component will be configured by APIdapter                                                    Record APIdapter Response HERE --&gt;"</formula>
    </cfRule>
    <cfRule type="cellIs" dxfId="883" priority="4" operator="equal">
      <formula>"This component requires the APIdapter Client URL"</formula>
    </cfRule>
    <cfRule type="cellIs" dxfId="882" priority="10" operator="equal">
      <formula>"This Component has not been configured yet"</formula>
    </cfRule>
    <cfRule type="cellIs" dxfId="881" priority="11" operator="equal">
      <formula>"Not yet Configured"</formula>
    </cfRule>
    <cfRule type="cellIs" dxfId="880" priority="12" operator="equal">
      <formula>"This component will be configured by APIdapter"</formula>
    </cfRule>
    <cfRule type="cellIs" dxfId="879" priority="13" operator="equal">
      <formula>"This component to be provided by the client"</formula>
    </cfRule>
  </conditionalFormatting>
  <conditionalFormatting sqref="A20:B20">
    <cfRule type="expression" dxfId="878" priority="2037">
      <formula>$C$17="NHDOE Sessions"</formula>
    </cfRule>
    <cfRule type="expression" dxfId="877" priority="2038">
      <formula>$C$17="Sessions"</formula>
    </cfRule>
  </conditionalFormatting>
  <conditionalFormatting sqref="A25:B25">
    <cfRule type="expression" dxfId="876" priority="653">
      <formula>$C$17="NHDOE Sessions"</formula>
    </cfRule>
    <cfRule type="expression" dxfId="875" priority="654">
      <formula>$C$17="Sessions"</formula>
    </cfRule>
  </conditionalFormatting>
  <conditionalFormatting sqref="A34:B35 A36:J41 A42 A43:J43 A44:C45 A46:J56 G35:H35 C42:J42 A57 C57:J58 A59:J59 A60 C60:J61 A62:J62 A63 C63:J64 A65:J2023 A2024:B2024 A2025:A2078 A2060:J2060 A2079:J2079 A2081:J1048576">
    <cfRule type="cellIs" dxfId="874" priority="1542" operator="equal">
      <formula>"This component requires the BB Developer Application ID"</formula>
    </cfRule>
  </conditionalFormatting>
  <conditionalFormatting sqref="A34:B35">
    <cfRule type="cellIs" dxfId="873" priority="1564" operator="greaterThan">
      <formula>$C$14&lt;0</formula>
    </cfRule>
  </conditionalFormatting>
  <conditionalFormatting sqref="A2:C6">
    <cfRule type="cellIs" dxfId="854" priority="375" operator="equal">
      <formula>"This component will be configured by APIdapter                                                    Record APIdapter Response HERE --&gt;"</formula>
    </cfRule>
    <cfRule type="cellIs" dxfId="853" priority="376" operator="equal">
      <formula>"This component requires the APIdapter Client URL"</formula>
    </cfRule>
    <cfRule type="cellIs" dxfId="852" priority="386" operator="equal">
      <formula>"This component to be provided by the client"</formula>
    </cfRule>
    <cfRule type="cellIs" dxfId="851" priority="385" operator="equal">
      <formula>"This component will be configured by APIdapter"</formula>
    </cfRule>
    <cfRule type="cellIs" dxfId="850" priority="384" operator="equal">
      <formula>"Not yet Configured"</formula>
    </cfRule>
    <cfRule type="cellIs" dxfId="849" priority="383" operator="equal">
      <formula>"This Component has not been configured yet"</formula>
    </cfRule>
    <cfRule type="cellIs" dxfId="848" priority="374" operator="equal">
      <formula>"This component requires the APIdapter Client URL &amp; the Program GUID"</formula>
    </cfRule>
  </conditionalFormatting>
  <conditionalFormatting sqref="A8:C9">
    <cfRule type="cellIs" dxfId="847" priority="6" operator="equal">
      <formula>"This component requires the D2L Keyset URL"</formula>
    </cfRule>
    <cfRule type="cellIs" dxfId="846" priority="7" operator="equal">
      <formula>"This component requires the D2L OpenID Connect Auth. Endpoint"</formula>
    </cfRule>
    <cfRule type="cellIs" dxfId="845" priority="8" operator="equal">
      <formula>"This component requires the D2L Client ID"</formula>
    </cfRule>
    <cfRule type="cellIs" dxfId="844" priority="14" operator="equal">
      <formula>"This component is not necessary"</formula>
    </cfRule>
    <cfRule type="cellIs" dxfId="843" priority="9" operator="equal">
      <formula>"This component requires the D2L Client-Specific Environment"</formula>
    </cfRule>
    <cfRule type="cellIs" dxfId="842" priority="341" operator="equal">
      <formula>"n/a"</formula>
    </cfRule>
    <cfRule type="cellIs" dxfId="841" priority="1" operator="equal">
      <formula>"This component requires the BB Developer Application ID"</formula>
    </cfRule>
    <cfRule type="cellIs" dxfId="840" priority="5" operator="equal">
      <formula>"This component requires the Client's D2L Deployment ID"</formula>
    </cfRule>
  </conditionalFormatting>
  <conditionalFormatting sqref="A27:C29">
    <cfRule type="cellIs" dxfId="839" priority="320" operator="equal">
      <formula>"This component requires the BB Developer Application ID"</formula>
    </cfRule>
    <cfRule type="cellIs" dxfId="838" priority="335" operator="equal">
      <formula>"This component is not necessary"</formula>
    </cfRule>
    <cfRule type="cellIs" dxfId="837" priority="334" operator="equal">
      <formula>"This component to be provided by the client"</formula>
    </cfRule>
    <cfRule type="cellIs" dxfId="836" priority="329" operator="equal">
      <formula>"This component requires the D2L Client-Specific Environment"</formula>
    </cfRule>
    <cfRule type="cellIs" dxfId="835" priority="328" operator="equal">
      <formula>"This component requires the D2L Client ID"</formula>
    </cfRule>
    <cfRule type="cellIs" dxfId="834" priority="333" operator="equal">
      <formula>"This component will be configured by APIdapter"</formula>
    </cfRule>
    <cfRule type="cellIs" dxfId="833" priority="327" operator="equal">
      <formula>"This component requires the D2L OpenID Connect Auth. Endpoint"</formula>
    </cfRule>
    <cfRule type="cellIs" dxfId="832" priority="326" operator="equal">
      <formula>"This component requires the D2L Keyset URL"</formula>
    </cfRule>
    <cfRule type="cellIs" dxfId="831" priority="331" operator="equal">
      <formula>"Not yet Configured"</formula>
    </cfRule>
    <cfRule type="cellIs" dxfId="830" priority="330" operator="equal">
      <formula>"This Component has not been configured yet"</formula>
    </cfRule>
    <cfRule type="cellIs" dxfId="829" priority="325" operator="equal">
      <formula>"This component requires the Client's D2L Deployment ID"</formula>
    </cfRule>
  </conditionalFormatting>
  <conditionalFormatting sqref="A27:C32">
    <cfRule type="cellIs" dxfId="828" priority="301" operator="equal">
      <formula>"This component requires the APIdapter Client URL &amp; the Program GUID"</formula>
    </cfRule>
    <cfRule type="cellIs" dxfId="827" priority="302" operator="equal">
      <formula>"This component will be configured by APIdapter                                                    Record APIdapter Response HERE --&gt;"</formula>
    </cfRule>
    <cfRule type="cellIs" dxfId="826" priority="303" operator="equal">
      <formula>"This component requires the APIdapter Client URL"</formula>
    </cfRule>
  </conditionalFormatting>
  <conditionalFormatting sqref="A30:C31">
    <cfRule type="cellIs" dxfId="825" priority="300" operator="equal">
      <formula>"This component requires the BB Developer Application ID"</formula>
    </cfRule>
  </conditionalFormatting>
  <conditionalFormatting sqref="A34:C34">
    <cfRule type="cellIs" dxfId="824" priority="458" operator="equal">
      <formula>"This component requires the D2L Keyset URL"</formula>
    </cfRule>
    <cfRule type="cellIs" dxfId="823" priority="459" operator="equal">
      <formula>"This component requires the D2L OpenID Connect Auth. Endpoint"</formula>
    </cfRule>
    <cfRule type="cellIs" dxfId="822" priority="460" operator="equal">
      <formula>"This component requires the D2L Client ID"</formula>
    </cfRule>
    <cfRule type="cellIs" dxfId="821" priority="461" operator="equal">
      <formula>"This component requires the D2L Client-Specific Environment"</formula>
    </cfRule>
    <cfRule type="cellIs" dxfId="820" priority="462" operator="equal">
      <formula>"This Component has not been configured yet"</formula>
    </cfRule>
    <cfRule type="cellIs" dxfId="819" priority="457" operator="equal">
      <formula>"This component requires the D2L Deployment ID"</formula>
    </cfRule>
  </conditionalFormatting>
  <conditionalFormatting sqref="A17:E20 D22:E25">
    <cfRule type="cellIs" dxfId="818" priority="645" operator="equal">
      <formula>"This Component has not been configured yet"</formula>
    </cfRule>
    <cfRule type="cellIs" dxfId="817" priority="647" operator="equal">
      <formula>"This component will be configured by APIdapter"</formula>
    </cfRule>
    <cfRule type="cellIs" dxfId="816" priority="646" operator="equal">
      <formula>"Not yet Configured"</formula>
    </cfRule>
    <cfRule type="cellIs" dxfId="815" priority="636" operator="equal">
      <formula>"This component requires the APIdapter Client URL &amp; the Program GUID"</formula>
    </cfRule>
    <cfRule type="cellIs" dxfId="814" priority="637" operator="equal">
      <formula>"This component will be configured by APIdapter                                                    Record APIdapter Response HERE --&gt;"</formula>
    </cfRule>
    <cfRule type="cellIs" dxfId="813" priority="638" operator="equal">
      <formula>"This component requires the APIdapter Client URL"</formula>
    </cfRule>
    <cfRule type="cellIs" dxfId="812" priority="648" operator="equal">
      <formula>"This component to be provided by the client"</formula>
    </cfRule>
  </conditionalFormatting>
  <conditionalFormatting sqref="A27:G29 A65:J2023">
    <cfRule type="cellIs" dxfId="811" priority="324" operator="equal">
      <formula>"n/a"</formula>
    </cfRule>
  </conditionalFormatting>
  <conditionalFormatting sqref="A33:I33 A46:J56 A57 C57:J58 A59:J59 A60 C60:J61 A62:J62 A63 C63:J64 A65:J2023 A36:J41 C42:J42 A44:C45 G35:H35 A43:J43 A34:B35 A30:B31 A42 D18:E20 E14:J14 G1:J1 G2:H2 C10 A11:C14 A32:C32 A22:C25 A17:C20 D23:E25 A1:A2 G2:G6 A10 E10:E13 F13:J13 A15:J15 A16:H16 A21:J21 A26:J26 H27:I28 I32:J32 J35 A2024:B2024 A2025:A2078 A2060:J2060 A2079:J2079 A2081:J1048576">
    <cfRule type="cellIs" dxfId="810" priority="1815" operator="equal">
      <formula>"This component is not necessary"</formula>
    </cfRule>
  </conditionalFormatting>
  <conditionalFormatting sqref="A33:I33">
    <cfRule type="cellIs" dxfId="809" priority="1565" operator="greaterThan">
      <formula>$C$14&lt;0</formula>
    </cfRule>
  </conditionalFormatting>
  <conditionalFormatting sqref="A7:J7 A8:C8 C9:C10">
    <cfRule type="cellIs" dxfId="808" priority="338" operator="equal">
      <formula>"This component requires the APIdapter Client URL &amp; the Program GUID"</formula>
    </cfRule>
    <cfRule type="cellIs" dxfId="807" priority="339" operator="equal">
      <formula>"This component will be configured by APIdapter                                                    Record APIdapter Response HERE --&gt;"</formula>
    </cfRule>
    <cfRule type="cellIs" dxfId="806" priority="340" operator="equal">
      <formula>"This component requires the APIdapter Client URL"</formula>
    </cfRule>
    <cfRule type="cellIs" dxfId="805" priority="347" operator="equal">
      <formula>"This Component has not been configured yet"</formula>
    </cfRule>
    <cfRule type="cellIs" dxfId="804" priority="348" operator="equal">
      <formula>"Not yet Configured"</formula>
    </cfRule>
    <cfRule type="cellIs" dxfId="803" priority="351" operator="equal">
      <formula>"This component to be provided by the client"</formula>
    </cfRule>
    <cfRule type="cellIs" dxfId="802" priority="350" operator="equal">
      <formula>"This component will be configured by APIdapter"</formula>
    </cfRule>
  </conditionalFormatting>
  <conditionalFormatting sqref="A7:J7">
    <cfRule type="cellIs" dxfId="801" priority="337" operator="equal">
      <formula>"This component requires the BB Developer Application ID"</formula>
    </cfRule>
    <cfRule type="cellIs" dxfId="800" priority="345" operator="equal">
      <formula>"This component requires the D2L Client ID"</formula>
    </cfRule>
    <cfRule type="cellIs" dxfId="799" priority="343" operator="equal">
      <formula>"This component requires the D2L Keyset URL"</formula>
    </cfRule>
    <cfRule type="cellIs" dxfId="798" priority="344" operator="equal">
      <formula>"This component requires the D2L OpenID Connect Auth. Endpoint"</formula>
    </cfRule>
    <cfRule type="cellIs" dxfId="797" priority="346" operator="equal">
      <formula>"This component requires the D2L Client-Specific Environment"</formula>
    </cfRule>
    <cfRule type="cellIs" dxfId="796" priority="342" operator="equal">
      <formula>"This component requires the Client's D2L Deployment ID"</formula>
    </cfRule>
    <cfRule type="cellIs" dxfId="795" priority="352" operator="equal">
      <formula>"This component is not necessary"</formula>
    </cfRule>
  </conditionalFormatting>
  <conditionalFormatting sqref="A36:J41 A42 A43:J43 A44:C45 A46:J56 E14:J14 G35:H35 C42:J42 A22:C25 G1:J1 A1:A2 G2:H2 G2:G6 A10 E10:E13 A11:C14 F13:J13 A15:J15 A16:H16 A21:J21 A26:J26 H27:I28 I32:J32 A33:I33 A35:B35 J35 A57 C57:J58 A59:J59 A60 C60:J61 A62:J62 A63 C63:J64 A65:J2023 A2024:B2024 A2025:A2078 A2060:J2060 A2079:J2079 A2081:J1048576">
    <cfRule type="cellIs" dxfId="794" priority="1467" operator="equal">
      <formula>"This component requires the APIdapter Client URL &amp; the Program GUID"</formula>
    </cfRule>
  </conditionalFormatting>
  <conditionalFormatting sqref="A36:J41 A30:B31 A34 A35:B35 A42 A43:J43 A44:C45 A46:J56 G35:H35 C42:J42 N27:N29 D18:E20 A13:J16 G2:H2 A10 N31:N32 G1:J1 C10 A32:D32 A22:C25 A17:C20 A21:J21 E11:F12 G2:G6 G8 D23:E25 J35 A1:A2 A7:J7 E10 H11:J11 A11:C12 A26:J26 H27:J28 I32:J32 A33:J33 A57 C57:J58 A59:J59 A60 C60:J61 A62:J62 A63 C63:J64 A2024:B2024 A2025:A2078 A2060:J2060 A2079:J2079 A2081:J1048576">
    <cfRule type="cellIs" dxfId="793" priority="1545" operator="equal">
      <formula>"n/a"</formula>
    </cfRule>
  </conditionalFormatting>
  <conditionalFormatting sqref="A36:J41 A30:B31 A35:B35 A42 A43:J43 A44:C45 A46:J56 G35:H35 C42:J42 D18:E20 E14:J14 G1:J1 G2:H2 C10 A11:C14 A32:C32 A22:C25 A17:C20 D23:E25 A1:A2 G2:G6 A10 E10:E13 F13:J13 A15:J15 A16:H16 A21:J21 A26:J26 H27:I28 I32:J32 A33:I33 J35 A57 C57:J58 A59:J59 A60 C60:J61 A62:J62 A63 C63:J64 A65:J2023 A2024:B2024 A2025:A2078 A2060:J2060 A2079:J2079 A2081:J1048576">
    <cfRule type="cellIs" dxfId="792" priority="1548" operator="equal">
      <formula>"This component requires the D2L Keyset URL"</formula>
    </cfRule>
    <cfRule type="cellIs" dxfId="791" priority="1547" operator="equal">
      <formula>"This component requires the Client's D2L Deployment ID"</formula>
    </cfRule>
  </conditionalFormatting>
  <conditionalFormatting sqref="A36:J41 A43:J43 A44:C45 A46:J56 A30:B31 A35:B35 A42 G35:H35 C42:J42 D18:E20 E14:J14 G1:J1 G2:H2 C10 A11:C14 A32:C32 A22:C25 A17:C20 D23:E25 A1:A2 G2:G6 A10 E10:E13 F13:J13 A15:J15 A16:H16 A21:J21 A26:J26 H27:I28 I32:J32 A33:I33 J35 A57 C57:J58 A59:J59 A60 C60:J61 A62:J62 A63 C63:J64 A65:J2023 A2024:B2024 A2025:A2078 A2060:J2060 A2079:J2079 A2081:J1048576">
    <cfRule type="cellIs" dxfId="790" priority="1554" operator="equal">
      <formula>"This component requires the D2L OpenID Connect Auth. Endpoint"</formula>
    </cfRule>
  </conditionalFormatting>
  <conditionalFormatting sqref="A36:J41 A46:J56 A57 C57:J58 A59:J59 A60 C60:J61 A62:J62 A63 C63:J64 A65:J2023 A43:J43 A44:C45 A30:B31 A35:B35 A42 G35:H35 C42:J42 D18:E20 E14:J14 G1:J1 G2:H2 C10 A11:C14 A32:C32 A22:C25 A17:C20 D23:E25 A1:A2 G2:G6 A10 E10:E13 F13:J13 A15:J15 A16:H16 A21:J21 A26:J26 H27:I28 I32:J32 A33:I33 J35 A2024:B2024 A2025:A2078 A2060:J2060 A2079:J2079 A2081:J1048576">
    <cfRule type="cellIs" dxfId="789" priority="1563" operator="equal">
      <formula>"This component requires the D2L Client-Specific Environment"</formula>
    </cfRule>
  </conditionalFormatting>
  <conditionalFormatting sqref="A36:J41 A46:J56 G35:H35 C42:J42 A43:J43 A44:C45 A42 E14:J14 A22:C25 G1:J1 A1:A2 G2:H2 G2:G6 A10 E10:E13 A11:C14 F13:J13 A15:J15 A16:H16 A21:J21 A26:J26 H27:I28 I32:J32 A33:I33 A35:B35 J35 A57 C57:J58 A59:J59 A60 C60:J61 A62:J62 A63 C63:J64 A65:J2023 A2024:B2024 A2025:A2078 A2060:J2060 A2079:J2079 A2081:J1048576">
    <cfRule type="cellIs" dxfId="788" priority="1527" operator="equal">
      <formula>"This component requires the APIdapter Client URL"</formula>
    </cfRule>
  </conditionalFormatting>
  <conditionalFormatting sqref="A36:J41 G35:H35 C42:J42 A43:J43 A44:C45 A46:J56 A33:I33 A34:B35 A57 C57:J58 A59:J59 A60 C60:J61 A62:J62 A63 C63:J64 A65:J2023 A30:B31 A42 E14:J14 A22:C25 G1:J1 A1:A2 G2:H2 G2:G6 A10 E10:E13 A11:C14 F13:J13 A15:J15 A16:H16 A21:J21 A26:J26 H27:I28 A32:C32 I32:J32 J35 A2024:B2024 A2025:A2078 A2060:J2060 A2079:J2079 A2081:J1048576">
    <cfRule type="cellIs" dxfId="787" priority="1581" operator="equal">
      <formula>"Not yet Configured"</formula>
    </cfRule>
  </conditionalFormatting>
  <conditionalFormatting sqref="A36:J41 G35:H35 C42:J42 A43:J43 A44:C45 A46:J56 A33:I33 A35:B35 A57 C57:J58 A59:J59 A60 C60:J61 A62:J62 A63 C63:J64 A65:J2023 A30:B31 A42 E14:J14 A22:C25 G1:J1 A1:A2 G2:H2 G2:G6 A10 E10:E13 A11:C14 F13:J13 A15:J15 A16:H16 A21:J21 A26:J26 H27:I28 A32:C32 I32:J32 J35 A2024:B2024 A2025:A2078 A2060:J2060 A2079:J2079 A2081:J1048576">
    <cfRule type="cellIs" dxfId="786" priority="1580" operator="equal">
      <formula>"This Component has not been configured yet"</formula>
    </cfRule>
  </conditionalFormatting>
  <conditionalFormatting sqref="A46:J56 A57 C57:J58 A59:J59 A60 C60:J61 A62:J62 A63 C63:J64 A65:J2023 A36:J41 A43:J43 A44:C45 A30:B31 A35:B35 A42 G35:H35 C42:J42 D18:E20 E14:J14 G1:J1 G2:H2 C10 A11:C14 A32:C32 A22:C25 A17:C20 D23:E25 A1:A2 G2:G6 A10 E10:E13 F13:J13 A15:J15 A16:H16 A21:J21 A26:J26 H27:I28 I32:J32 A33:I33 J35 A2024:B2024 A2025:A2078 A2060:J2060 A2079:J2079 A2081:J1048576">
    <cfRule type="cellIs" dxfId="784" priority="1560" operator="equal">
      <formula>"This component requires the D2L Client ID"</formula>
    </cfRule>
  </conditionalFormatting>
  <conditionalFormatting sqref="A56:J56 A57 C57:J58 A59:J59 A60 C60:J61 A62:J62 A63 C63:J64 A65:J65">
    <cfRule type="expression" dxfId="783" priority="1559">
      <formula>$H$1&lt;&gt;"HED"</formula>
    </cfRule>
  </conditionalFormatting>
  <conditionalFormatting sqref="A59:J59 A56:J56 A57 C57:J58 A60 C60:J61 A62:J62 A63 C63:J64 A65:J65">
    <cfRule type="expression" dxfId="782" priority="1803">
      <formula>$C$13=0</formula>
    </cfRule>
    <cfRule type="expression" dxfId="781" priority="1802">
      <formula>$C$13="n/a"</formula>
    </cfRule>
  </conditionalFormatting>
  <conditionalFormatting sqref="C2:C4">
    <cfRule type="cellIs" dxfId="780" priority="382" operator="equal">
      <formula>"This component requires the D2L Client-Specific Environment"</formula>
    </cfRule>
    <cfRule type="cellIs" dxfId="779" priority="381" operator="equal">
      <formula>"This component requires the D2L Client ID"</formula>
    </cfRule>
    <cfRule type="cellIs" dxfId="778" priority="380" operator="equal">
      <formula>"This component requires the D2L OpenID Connect Auth. Endpoint"</formula>
    </cfRule>
    <cfRule type="cellIs" dxfId="777" priority="378" operator="equal">
      <formula>"This component requires the Client's D2L Deployment ID"</formula>
    </cfRule>
    <cfRule type="cellIs" dxfId="776" priority="387" operator="equal">
      <formula>"This component is not necessary"</formula>
    </cfRule>
    <cfRule type="cellIs" dxfId="775" priority="377" operator="equal">
      <formula>"n/a"</formula>
    </cfRule>
    <cfRule type="cellIs" dxfId="774" priority="373" operator="equal">
      <formula>"This component requires the BB Developer Application ID"</formula>
    </cfRule>
    <cfRule type="cellIs" dxfId="773" priority="372" operator="equal">
      <formula>"n/a"</formula>
    </cfRule>
    <cfRule type="cellIs" dxfId="772" priority="379" operator="equal">
      <formula>"This component requires the D2L Keyset URL"</formula>
    </cfRule>
  </conditionalFormatting>
  <conditionalFormatting sqref="C3">
    <cfRule type="expression" dxfId="771" priority="371">
      <formula>$I$2="LTI 1.3 Migration"</formula>
    </cfRule>
  </conditionalFormatting>
  <conditionalFormatting sqref="C5">
    <cfRule type="expression" dxfId="770" priority="388">
      <formula>$I$2="LTI 1.3 Migration"</formula>
    </cfRule>
  </conditionalFormatting>
  <conditionalFormatting sqref="C5:C6">
    <cfRule type="cellIs" dxfId="769" priority="390" operator="equal">
      <formula>"This component requires the BB Developer Application ID"</formula>
    </cfRule>
    <cfRule type="cellIs" dxfId="768" priority="397" operator="equal">
      <formula>"This component requires the D2L OpenID Connect Auth. Endpoint"</formula>
    </cfRule>
    <cfRule type="cellIs" dxfId="767" priority="396" operator="equal">
      <formula>"This component requires the D2L Keyset URL"</formula>
    </cfRule>
    <cfRule type="cellIs" dxfId="766" priority="404" operator="equal">
      <formula>"This component is not necessary"</formula>
    </cfRule>
    <cfRule type="cellIs" dxfId="765" priority="398" operator="equal">
      <formula>"This component requires the D2L Client ID"</formula>
    </cfRule>
    <cfRule type="cellIs" dxfId="764" priority="395" operator="equal">
      <formula>"This component requires the Client's D2L Deployment ID"</formula>
    </cfRule>
    <cfRule type="cellIs" dxfId="763" priority="394" operator="equal">
      <formula>"n/a"</formula>
    </cfRule>
    <cfRule type="cellIs" dxfId="762" priority="389" operator="equal">
      <formula>"n/a"</formula>
    </cfRule>
    <cfRule type="cellIs" dxfId="761" priority="399" operator="equal">
      <formula>"This component requires the D2L Client-Specific Environment"</formula>
    </cfRule>
  </conditionalFormatting>
  <conditionalFormatting sqref="C8:C9">
    <cfRule type="cellIs" dxfId="760" priority="349" operator="equal">
      <formula>"n/a"</formula>
    </cfRule>
  </conditionalFormatting>
  <conditionalFormatting sqref="C8:C14">
    <cfRule type="cellIs" dxfId="759" priority="336" operator="greaterThan">
      <formula>0</formula>
    </cfRule>
  </conditionalFormatting>
  <conditionalFormatting sqref="C10">
    <cfRule type="cellIs" dxfId="758" priority="470" operator="greaterThan">
      <formula>0</formula>
    </cfRule>
  </conditionalFormatting>
  <conditionalFormatting sqref="C10:C14 F12 F13:J14">
    <cfRule type="cellIs" dxfId="757" priority="1603" operator="equal">
      <formula>"n/a"</formula>
    </cfRule>
  </conditionalFormatting>
  <conditionalFormatting sqref="C17:C20 C22:C25">
    <cfRule type="cellIs" dxfId="756" priority="627" operator="greaterThan">
      <formula>0</formula>
    </cfRule>
  </conditionalFormatting>
  <conditionalFormatting sqref="C19:C20">
    <cfRule type="expression" dxfId="755" priority="594">
      <formula>$C$17="HDT"</formula>
    </cfRule>
  </conditionalFormatting>
  <conditionalFormatting sqref="C23:C24">
    <cfRule type="cellIs" dxfId="754" priority="652" operator="equal">
      <formula>"n/a"</formula>
    </cfRule>
  </conditionalFormatting>
  <conditionalFormatting sqref="C24:C25">
    <cfRule type="expression" dxfId="753" priority="593">
      <formula>$C$22="HDT"</formula>
    </cfRule>
  </conditionalFormatting>
  <conditionalFormatting sqref="C27:C28">
    <cfRule type="expression" dxfId="752" priority="319">
      <formula>$I$2="LTI 1.3 Migration"</formula>
    </cfRule>
  </conditionalFormatting>
  <conditionalFormatting sqref="C27:C29">
    <cfRule type="cellIs" dxfId="751" priority="332" operator="equal">
      <formula>"n/a"</formula>
    </cfRule>
  </conditionalFormatting>
  <conditionalFormatting sqref="C27:C32">
    <cfRule type="cellIs" dxfId="750" priority="298" operator="greaterThan">
      <formula>0</formula>
    </cfRule>
  </conditionalFormatting>
  <conditionalFormatting sqref="C30">
    <cfRule type="expression" dxfId="749" priority="299">
      <formula>$I$2="LTI 1.3 Migration"</formula>
    </cfRule>
  </conditionalFormatting>
  <conditionalFormatting sqref="C30:C31">
    <cfRule type="cellIs" dxfId="748" priority="312" operator="equal">
      <formula>"n/a"</formula>
    </cfRule>
    <cfRule type="cellIs" dxfId="747" priority="305" operator="equal">
      <formula>"This component requires the Client's D2L Deployment ID"</formula>
    </cfRule>
    <cfRule type="cellIs" dxfId="746" priority="306" operator="equal">
      <formula>"This component requires the D2L Keyset URL"</formula>
    </cfRule>
    <cfRule type="cellIs" dxfId="745" priority="307" operator="equal">
      <formula>"This component requires the D2L OpenID Connect Auth. Endpoint"</formula>
    </cfRule>
    <cfRule type="cellIs" dxfId="744" priority="308" operator="equal">
      <formula>"This component requires the D2L Client ID"</formula>
    </cfRule>
    <cfRule type="cellIs" dxfId="743" priority="309" operator="equal">
      <formula>"This component requires the D2L Client-Specific Environment"</formula>
    </cfRule>
    <cfRule type="cellIs" dxfId="742" priority="310" operator="equal">
      <formula>"This Component has not been configured yet"</formula>
    </cfRule>
    <cfRule type="cellIs" dxfId="741" priority="311" operator="equal">
      <formula>"Not yet Configured"</formula>
    </cfRule>
    <cfRule type="expression" dxfId="740" priority="313">
      <formula>$C$14="List Management"</formula>
    </cfRule>
    <cfRule type="cellIs" dxfId="739" priority="315" operator="equal">
      <formula>"This component will be configured by APIdapter"</formula>
    </cfRule>
    <cfRule type="cellIs" dxfId="738" priority="316" operator="equal">
      <formula>"This component to be provided by the client"</formula>
    </cfRule>
    <cfRule type="cellIs" dxfId="737" priority="317" operator="equal">
      <formula>"This component is not necessary"</formula>
    </cfRule>
  </conditionalFormatting>
  <conditionalFormatting sqref="C32 I32:J32">
    <cfRule type="cellIs" dxfId="736" priority="1591" operator="equal">
      <formula>"n/a"</formula>
    </cfRule>
  </conditionalFormatting>
  <conditionalFormatting sqref="C34:C35">
    <cfRule type="cellIs" dxfId="735" priority="464" operator="equal">
      <formula>"This component to be provided by the client"</formula>
    </cfRule>
    <cfRule type="cellIs" dxfId="734" priority="463" operator="equal">
      <formula>"This component will be configured by APIdapter"</formula>
    </cfRule>
    <cfRule type="expression" dxfId="733" priority="456">
      <formula>$I$2="LTI 1.3 Migration"</formula>
    </cfRule>
    <cfRule type="cellIs" dxfId="732" priority="455" operator="greaterThan">
      <formula>0</formula>
    </cfRule>
    <cfRule type="expression" dxfId="731" priority="454">
      <formula>$C$14="Custom SAML"</formula>
    </cfRule>
    <cfRule type="cellIs" dxfId="730" priority="467" operator="equal">
      <formula>"n/a"</formula>
    </cfRule>
    <cfRule type="expression" dxfId="729" priority="453">
      <formula>$C$14="Google Classroom"</formula>
    </cfRule>
    <cfRule type="expression" dxfId="728" priority="452">
      <formula>$C$14="Clever"</formula>
    </cfRule>
    <cfRule type="expression" dxfId="727" priority="451">
      <formula>$C$14="List Management"</formula>
    </cfRule>
    <cfRule type="cellIs" dxfId="726" priority="468" operator="equal">
      <formula>"This component requires the BB Developer Application ID"</formula>
    </cfRule>
    <cfRule type="cellIs" dxfId="725" priority="466" operator="equal">
      <formula>"This component is not necessary"</formula>
    </cfRule>
    <cfRule type="cellIs" dxfId="724" priority="465" operator="equal">
      <formula>"n/a"</formula>
    </cfRule>
  </conditionalFormatting>
  <conditionalFormatting sqref="C35">
    <cfRule type="cellIs" dxfId="723" priority="449" operator="equal">
      <formula>"This component requires the D2L Client-Specific Environment"</formula>
    </cfRule>
    <cfRule type="cellIs" dxfId="722" priority="450" operator="equal">
      <formula>"This Component has not been configured yet"</formula>
    </cfRule>
    <cfRule type="cellIs" dxfId="721" priority="447" operator="equal">
      <formula>"This component requires the D2L OpenID Connect Auth. Endpoint"</formula>
    </cfRule>
    <cfRule type="cellIs" dxfId="720" priority="445" operator="equal">
      <formula>"This component requires the D2L Deployment ID"</formula>
    </cfRule>
    <cfRule type="cellIs" dxfId="719" priority="446" operator="equal">
      <formula>"This component requires the D2L Keyset URL"</formula>
    </cfRule>
    <cfRule type="cellIs" dxfId="718" priority="448" operator="equal">
      <formula>"This component requires the D2L Client ID"</formula>
    </cfRule>
  </conditionalFormatting>
  <conditionalFormatting sqref="C37:C41">
    <cfRule type="cellIs" dxfId="714" priority="1630" operator="greaterThan">
      <formula>0</formula>
    </cfRule>
  </conditionalFormatting>
  <conditionalFormatting sqref="C38 C41 H1:H2 J1 C10 C13:C14 C32">
    <cfRule type="expression" dxfId="713" priority="1209">
      <formula>$I$2="LTI 1.3 Migration"</formula>
    </cfRule>
  </conditionalFormatting>
  <conditionalFormatting sqref="C38 C41">
    <cfRule type="cellIs" dxfId="712" priority="1178" operator="greaterThan">
      <formula>0</formula>
    </cfRule>
  </conditionalFormatting>
  <conditionalFormatting sqref="C38">
    <cfRule type="expression" dxfId="711" priority="827">
      <formula>$N$30&lt;&gt;""</formula>
    </cfRule>
  </conditionalFormatting>
  <conditionalFormatting sqref="C44:C45 C46:J47 H31:I31">
    <cfRule type="expression" dxfId="710" priority="1595">
      <formula>$C$14="Google Classroom"</formula>
    </cfRule>
  </conditionalFormatting>
  <conditionalFormatting sqref="C47 C37:F41 C49:J50 C51 C52:J53">
    <cfRule type="cellIs" dxfId="709" priority="1652" operator="equal">
      <formula>0</formula>
    </cfRule>
  </conditionalFormatting>
  <conditionalFormatting sqref="C49:C53">
    <cfRule type="cellIs" dxfId="708" priority="1767" operator="equal">
      <formula>"n/a"</formula>
    </cfRule>
  </conditionalFormatting>
  <conditionalFormatting sqref="C17:E17 C19:E20 C22:E22 C24:E25">
    <cfRule type="cellIs" dxfId="707" priority="1689" operator="equal">
      <formula>"n/a"</formula>
    </cfRule>
  </conditionalFormatting>
  <conditionalFormatting sqref="C2:F6">
    <cfRule type="cellIs" dxfId="706" priority="370" operator="greaterThan">
      <formula>0</formula>
    </cfRule>
  </conditionalFormatting>
  <conditionalFormatting sqref="C37:F41">
    <cfRule type="expression" dxfId="694" priority="1499">
      <formula>$C$14=""</formula>
    </cfRule>
  </conditionalFormatting>
  <conditionalFormatting sqref="C30:G31">
    <cfRule type="cellIs" dxfId="691" priority="304" operator="equal">
      <formula>"n/a"</formula>
    </cfRule>
  </conditionalFormatting>
  <conditionalFormatting sqref="C31:G31">
    <cfRule type="expression" dxfId="690" priority="314">
      <formula>$C$14="Google Classroom"</formula>
    </cfRule>
  </conditionalFormatting>
  <conditionalFormatting sqref="C15:J15 C26:G26">
    <cfRule type="cellIs" dxfId="689" priority="1763" operator="greaterThan">
      <formula>0</formula>
    </cfRule>
  </conditionalFormatting>
  <conditionalFormatting sqref="C20:J20">
    <cfRule type="expression" dxfId="688" priority="611">
      <formula>$C$17="n/a"</formula>
    </cfRule>
  </conditionalFormatting>
  <conditionalFormatting sqref="C31:J31">
    <cfRule type="expression" dxfId="687" priority="297">
      <formula>$C$14="Custom SAML"</formula>
    </cfRule>
  </conditionalFormatting>
  <conditionalFormatting sqref="C46:J47 C43:J43 C44:C45">
    <cfRule type="cellIs" dxfId="670" priority="1710" operator="greaterThan">
      <formula>0</formula>
    </cfRule>
  </conditionalFormatting>
  <conditionalFormatting sqref="C49:J50 C51 C52:J53">
    <cfRule type="cellIs" dxfId="669" priority="1723" operator="greaterThan">
      <formula>0</formula>
    </cfRule>
  </conditionalFormatting>
  <conditionalFormatting sqref="C59:J59">
    <cfRule type="cellIs" dxfId="668" priority="1795" operator="greaterThan">
      <formula>0</formula>
    </cfRule>
  </conditionalFormatting>
  <conditionalFormatting sqref="C62:J62">
    <cfRule type="cellIs" dxfId="667" priority="1812" operator="greaterThan">
      <formula>0</formula>
    </cfRule>
  </conditionalFormatting>
  <conditionalFormatting sqref="C65:J65">
    <cfRule type="cellIs" dxfId="666" priority="1811" operator="greaterThan">
      <formula>0</formula>
    </cfRule>
  </conditionalFormatting>
  <conditionalFormatting sqref="D16 F16 H16 C18:C19">
    <cfRule type="cellIs" dxfId="665" priority="1808" operator="equal">
      <formula>"n/a"</formula>
    </cfRule>
  </conditionalFormatting>
  <conditionalFormatting sqref="D16">
    <cfRule type="cellIs" dxfId="664" priority="1682" operator="greaterThan">
      <formula>0</formula>
    </cfRule>
  </conditionalFormatting>
  <conditionalFormatting sqref="D21 F21">
    <cfRule type="cellIs" dxfId="663" priority="578" operator="equal">
      <formula>"n/a"</formula>
    </cfRule>
  </conditionalFormatting>
  <conditionalFormatting sqref="D21">
    <cfRule type="cellIs" dxfId="662" priority="577" operator="greaterThan">
      <formula>0</formula>
    </cfRule>
  </conditionalFormatting>
  <conditionalFormatting sqref="D17:E17">
    <cfRule type="cellIs" dxfId="661" priority="661" operator="equal">
      <formula>"n/a"</formula>
    </cfRule>
    <cfRule type="cellIs" dxfId="660" priority="662" operator="equal">
      <formula>"This component requires the Client's D2L Deployment ID"</formula>
    </cfRule>
    <cfRule type="cellIs" dxfId="659" priority="663" operator="equal">
      <formula>"This component requires the D2L Keyset URL"</formula>
    </cfRule>
    <cfRule type="cellIs" dxfId="658" priority="664" operator="equal">
      <formula>"This component requires the D2L OpenID Connect Auth. Endpoint"</formula>
    </cfRule>
    <cfRule type="cellIs" dxfId="657" priority="665" operator="equal">
      <formula>"This component requires the D2L Client ID"</formula>
    </cfRule>
    <cfRule type="cellIs" dxfId="656" priority="671" operator="equal">
      <formula>"This component is not necessary"</formula>
    </cfRule>
    <cfRule type="cellIs" dxfId="655" priority="666" operator="equal">
      <formula>"This component requires the D2L Client-Specific Environment"</formula>
    </cfRule>
    <cfRule type="cellIs" dxfId="654" priority="657" operator="equal">
      <formula>"This component requires the BB Developer Application ID"</formula>
    </cfRule>
  </conditionalFormatting>
  <conditionalFormatting sqref="D18:E18">
    <cfRule type="cellIs" dxfId="653" priority="1374" operator="equal">
      <formula>"n/a"</formula>
    </cfRule>
  </conditionalFormatting>
  <conditionalFormatting sqref="D18:E20 E13:J14 G1:J1 H2 C10 A11:C14 A32:C32 A22:C25 A17:C20 D23:E25 A1:A2 A10 E10:E12 A15:J15 A16:H16 A21:J21 A26:J26 H27:I28 I32:J32 A33:I33">
    <cfRule type="cellIs" dxfId="652" priority="1465" operator="equal">
      <formula>"This component requires the BB Developer Application ID"</formula>
    </cfRule>
  </conditionalFormatting>
  <conditionalFormatting sqref="D22:E22">
    <cfRule type="cellIs" dxfId="651" priority="31" operator="equal">
      <formula>"This component requires the D2L Keyset URL"</formula>
    </cfRule>
    <cfRule type="cellIs" dxfId="650" priority="32" operator="equal">
      <formula>"This component requires the D2L OpenID Connect Auth. Endpoint"</formula>
    </cfRule>
    <cfRule type="cellIs" dxfId="649" priority="33" operator="equal">
      <formula>"This component requires the D2L Client ID"</formula>
    </cfRule>
    <cfRule type="cellIs" dxfId="648" priority="35" operator="equal">
      <formula>"This component is not necessary"</formula>
    </cfRule>
    <cfRule type="cellIs" dxfId="647" priority="34" operator="equal">
      <formula>"This component requires the D2L Client-Specific Environment"</formula>
    </cfRule>
    <cfRule type="cellIs" dxfId="646" priority="28" operator="equal">
      <formula>"This component requires the BB Developer Application ID"</formula>
    </cfRule>
    <cfRule type="cellIs" dxfId="645" priority="29" operator="equal">
      <formula>"n/a"</formula>
    </cfRule>
    <cfRule type="cellIs" dxfId="644" priority="30" operator="equal">
      <formula>"This component requires the Client's D2L Deployment ID"</formula>
    </cfRule>
  </conditionalFormatting>
  <conditionalFormatting sqref="D23:E23">
    <cfRule type="cellIs" dxfId="643" priority="37" operator="equal">
      <formula>"n/a"</formula>
    </cfRule>
  </conditionalFormatting>
  <conditionalFormatting sqref="D17:J20">
    <cfRule type="expression" dxfId="642" priority="628">
      <formula>$C$17="n/a"</formula>
    </cfRule>
    <cfRule type="expression" dxfId="641" priority="629">
      <formula>$C$17=""</formula>
    </cfRule>
  </conditionalFormatting>
  <conditionalFormatting sqref="D20:J20">
    <cfRule type="expression" dxfId="640" priority="610">
      <formula>$C$17=""</formula>
    </cfRule>
  </conditionalFormatting>
  <conditionalFormatting sqref="D22:J25">
    <cfRule type="expression" dxfId="639" priority="25">
      <formula>$C$22="n/a"</formula>
    </cfRule>
    <cfRule type="expression" dxfId="638" priority="26">
      <formula>$C$22=""</formula>
    </cfRule>
  </conditionalFormatting>
  <conditionalFormatting sqref="D25:J25">
    <cfRule type="expression" dxfId="637" priority="22">
      <formula>$C$22="n/a"</formula>
    </cfRule>
    <cfRule type="expression" dxfId="636" priority="21">
      <formula>$C$22=""</formula>
    </cfRule>
  </conditionalFormatting>
  <conditionalFormatting sqref="E13">
    <cfRule type="cellIs" dxfId="635" priority="469" operator="equal">
      <formula>"n/a"</formula>
    </cfRule>
  </conditionalFormatting>
  <conditionalFormatting sqref="E14">
    <cfRule type="expression" dxfId="634" priority="1290">
      <formula>$C$14="Canvas - LTI 1.1 (Enabled)"</formula>
    </cfRule>
    <cfRule type="expression" dxfId="633" priority="1289">
      <formula>$C$14="Canvas - LTI 1.1 (Disabled)"</formula>
    </cfRule>
  </conditionalFormatting>
  <conditionalFormatting sqref="E18:E20 E23:E25">
    <cfRule type="cellIs" dxfId="632" priority="911" operator="greaterThan">
      <formula>0</formula>
    </cfRule>
  </conditionalFormatting>
  <conditionalFormatting sqref="E20">
    <cfRule type="expression" dxfId="631" priority="1354">
      <formula>$J$1="hed"</formula>
    </cfRule>
  </conditionalFormatting>
  <conditionalFormatting sqref="E25">
    <cfRule type="expression" dxfId="630" priority="36">
      <formula>$J$1="hed"</formula>
    </cfRule>
  </conditionalFormatting>
  <conditionalFormatting sqref="E34">
    <cfRule type="cellIs" dxfId="629" priority="805" operator="equal">
      <formula>"This component requires the D2L OpenID Connect Auth. Endpoint"</formula>
    </cfRule>
    <cfRule type="cellIs" dxfId="628" priority="806" operator="equal">
      <formula>"This component requires the D2L Client ID"</formula>
    </cfRule>
    <cfRule type="cellIs" dxfId="627" priority="802" operator="equal">
      <formula>"This component will be configured by APIdapter                                                    Record APIdapter Response HERE --&gt;"</formula>
    </cfRule>
    <cfRule type="expression" dxfId="626" priority="798">
      <formula>$C$14="List Management"</formula>
    </cfRule>
    <cfRule type="cellIs" dxfId="625" priority="807" operator="equal">
      <formula>"This component requires the D2L Client-Specific Environment"</formula>
    </cfRule>
    <cfRule type="cellIs" dxfId="624" priority="808" operator="equal">
      <formula>"This Component has not been configured yet"</formula>
    </cfRule>
    <cfRule type="cellIs" dxfId="623" priority="809" operator="equal">
      <formula>"n/a"</formula>
    </cfRule>
    <cfRule type="cellIs" dxfId="622" priority="811" operator="equal">
      <formula>"This component will be configured by APIdapter"</formula>
    </cfRule>
    <cfRule type="cellIs" dxfId="621" priority="812" operator="equal">
      <formula>"This component to be provided by the client"</formula>
    </cfRule>
    <cfRule type="cellIs" dxfId="620" priority="814" operator="equal">
      <formula>"n/a"</formula>
    </cfRule>
    <cfRule type="cellIs" dxfId="619" priority="813" operator="equal">
      <formula>"Not yet Configured"</formula>
    </cfRule>
    <cfRule type="expression" dxfId="618" priority="799">
      <formula>$C$14="Clever"</formula>
    </cfRule>
    <cfRule type="expression" dxfId="617" priority="800">
      <formula>$C$14="Google Classroom"</formula>
    </cfRule>
    <cfRule type="cellIs" dxfId="616" priority="810" operator="equal">
      <formula>"This component requires the Client's D2L Deployment ID"</formula>
    </cfRule>
    <cfRule type="cellIs" dxfId="615" priority="801" operator="equal">
      <formula>"This component requires the BB Developer Application ID"</formula>
    </cfRule>
    <cfRule type="cellIs" dxfId="614" priority="803" operator="equal">
      <formula>"This component requires the APIdapter Client URL"</formula>
    </cfRule>
    <cfRule type="cellIs" dxfId="613" priority="804" operator="equal">
      <formula>"This component requires the D2L Keyset URL"</formula>
    </cfRule>
  </conditionalFormatting>
  <conditionalFormatting sqref="E35">
    <cfRule type="cellIs" dxfId="612" priority="1004" operator="equal">
      <formula>"This component requires the Client's D2L Deployment ID"</formula>
    </cfRule>
    <cfRule type="cellIs" dxfId="611" priority="1003" operator="equal">
      <formula>"n/a"</formula>
    </cfRule>
    <cfRule type="cellIs" dxfId="610" priority="1001" operator="equal">
      <formula>"This component will be configured by APIdapter                                                    Record APIdapter Response HERE --&gt;"</formula>
    </cfRule>
    <cfRule type="cellIs" dxfId="609" priority="1000" operator="equal">
      <formula>"This component requires the BB Developer Application ID"</formula>
    </cfRule>
    <cfRule type="expression" dxfId="608" priority="999">
      <formula>$C$14="Clever"</formula>
    </cfRule>
    <cfRule type="cellIs" dxfId="607" priority="1002" operator="equal">
      <formula>"This component requires the APIdapter Client URL"</formula>
    </cfRule>
    <cfRule type="cellIs" dxfId="606" priority="1005" operator="equal">
      <formula>"Not yet Configured"</formula>
    </cfRule>
    <cfRule type="cellIs" dxfId="605" priority="1006" operator="equal">
      <formula>"n/a"</formula>
    </cfRule>
    <cfRule type="expression" dxfId="604" priority="997">
      <formula>$C$14="List Management"</formula>
    </cfRule>
    <cfRule type="expression" dxfId="603" priority="998">
      <formula>$C$14="Google Classroom"</formula>
    </cfRule>
  </conditionalFormatting>
  <conditionalFormatting sqref="E44">
    <cfRule type="expression" dxfId="602" priority="1249">
      <formula>$G$44&gt;0</formula>
    </cfRule>
  </conditionalFormatting>
  <conditionalFormatting sqref="E45">
    <cfRule type="expression" dxfId="601" priority="1248">
      <formula>$G$45&gt;0</formula>
    </cfRule>
  </conditionalFormatting>
  <conditionalFormatting sqref="E34:F34">
    <cfRule type="cellIs" dxfId="600" priority="704" operator="equal">
      <formula>"This component is not necessary"</formula>
    </cfRule>
  </conditionalFormatting>
  <conditionalFormatting sqref="E44:F45">
    <cfRule type="cellIs" dxfId="599" priority="1250" operator="equal">
      <formula>"Record APIdapter Response HERE --&gt;"</formula>
    </cfRule>
  </conditionalFormatting>
  <conditionalFormatting sqref="E35:H35">
    <cfRule type="cellIs" dxfId="598" priority="986" operator="equal">
      <formula>"This component will be configured by APIdapter"</formula>
    </cfRule>
    <cfRule type="cellIs" dxfId="597" priority="982" operator="equal">
      <formula>"This Component has not been configured yet"</formula>
    </cfRule>
    <cfRule type="cellIs" dxfId="596" priority="979" operator="equal">
      <formula>"This component requires the D2L Client-Specific Environment"</formula>
    </cfRule>
    <cfRule type="cellIs" dxfId="595" priority="978" operator="equal">
      <formula>"This component requires the D2L Client ID"</formula>
    </cfRule>
    <cfRule type="cellIs" dxfId="594" priority="988" operator="equal">
      <formula>"This component is not necessary"</formula>
    </cfRule>
    <cfRule type="cellIs" dxfId="593" priority="987" operator="equal">
      <formula>"This component to be provided by the client"</formula>
    </cfRule>
    <cfRule type="cellIs" dxfId="592" priority="977" operator="equal">
      <formula>"This component requires the D2L OpenID Connect Auth. Endpoint"</formula>
    </cfRule>
    <cfRule type="cellIs" dxfId="591" priority="976" operator="equal">
      <formula>"This component requires the D2L Keyset URL"</formula>
    </cfRule>
  </conditionalFormatting>
  <conditionalFormatting sqref="E13:J13">
    <cfRule type="cellIs" dxfId="590" priority="1604" operator="greaterThan">
      <formula>0</formula>
    </cfRule>
  </conditionalFormatting>
  <conditionalFormatting sqref="F11">
    <cfRule type="cellIs" dxfId="589" priority="482" operator="equal">
      <formula>"n/a"</formula>
    </cfRule>
  </conditionalFormatting>
  <conditionalFormatting sqref="F11:F12">
    <cfRule type="cellIs" dxfId="588" priority="480" operator="equal">
      <formula>"This Component has not been configured yet"</formula>
    </cfRule>
    <cfRule type="cellIs" dxfId="587" priority="477" operator="equal">
      <formula>"This component requires the D2L OpenID Connect Auth. Endpoint"</formula>
    </cfRule>
    <cfRule type="cellIs" dxfId="586" priority="481" operator="equal">
      <formula>"Not yet Configured"</formula>
    </cfRule>
    <cfRule type="cellIs" dxfId="585" priority="478" operator="equal">
      <formula>"This component requires the D2L Client ID"</formula>
    </cfRule>
    <cfRule type="cellIs" dxfId="584" priority="484" operator="equal">
      <formula>"This component will be configured by APIdapter"</formula>
    </cfRule>
    <cfRule type="cellIs" dxfId="583" priority="476" operator="equal">
      <formula>"This component requires the D2L Keyset URL"</formula>
    </cfRule>
    <cfRule type="cellIs" dxfId="582" priority="486" operator="equal">
      <formula>"This component is not necessary"</formula>
    </cfRule>
    <cfRule type="cellIs" dxfId="581" priority="479" operator="equal">
      <formula>"This component requires the D2L Client-Specific Environment"</formula>
    </cfRule>
    <cfRule type="cellIs" dxfId="580" priority="473" operator="equal">
      <formula>"This component requires the APIdapter Client URL"</formula>
    </cfRule>
    <cfRule type="cellIs" dxfId="579" priority="472" operator="equal">
      <formula>"This component will be configured by APIdapter                                                    Record APIdapter Response HERE --&gt;"</formula>
    </cfRule>
    <cfRule type="cellIs" dxfId="578" priority="474" operator="equal">
      <formula>"This component requires the BB Developer Application ID"</formula>
    </cfRule>
    <cfRule type="cellIs" dxfId="577" priority="483" operator="greaterThan">
      <formula>0</formula>
    </cfRule>
    <cfRule type="cellIs" dxfId="576" priority="485" operator="equal">
      <formula>"This component to be provided by the client"</formula>
    </cfRule>
    <cfRule type="cellIs" dxfId="575" priority="471" operator="equal">
      <formula>"This component requires the APIdapter Client URL &amp; the Program GUID"</formula>
    </cfRule>
    <cfRule type="cellIs" dxfId="574" priority="475" operator="equal">
      <formula>"This component requires the Client's D2L Deployment ID"</formula>
    </cfRule>
  </conditionalFormatting>
  <conditionalFormatting sqref="F14">
    <cfRule type="expression" dxfId="573" priority="1282">
      <formula>$C$14="Canvas - LTI 1.1 (Enabled)"</formula>
    </cfRule>
    <cfRule type="expression" dxfId="572" priority="1284">
      <formula>$C$14="Canvas - LTI 1.1 (Disabled)"</formula>
    </cfRule>
    <cfRule type="cellIs" dxfId="571" priority="1306" operator="greaterThan">
      <formula>0</formula>
    </cfRule>
    <cfRule type="cellIs" dxfId="570" priority="1353" operator="equal">
      <formula>"n/a"</formula>
    </cfRule>
  </conditionalFormatting>
  <conditionalFormatting sqref="F16 H16">
    <cfRule type="cellIs" dxfId="569" priority="1813" operator="greaterThan">
      <formula>0</formula>
    </cfRule>
  </conditionalFormatting>
  <conditionalFormatting sqref="F21 H21">
    <cfRule type="cellIs" dxfId="568" priority="579" operator="greaterThan">
      <formula>0</formula>
    </cfRule>
  </conditionalFormatting>
  <conditionalFormatting sqref="F34">
    <cfRule type="cellIs" dxfId="567" priority="699" operator="equal">
      <formula>"This component requires the D2L Client ID"</formula>
    </cfRule>
    <cfRule type="cellIs" dxfId="566" priority="700" operator="equal">
      <formula>"This component requires the D2L Client-Specific Environment"</formula>
    </cfRule>
    <cfRule type="cellIs" dxfId="565" priority="702" operator="equal">
      <formula>"This component will be configured by APIdapter"</formula>
    </cfRule>
    <cfRule type="cellIs" dxfId="564" priority="703" operator="equal">
      <formula>"This component to be provided by the client"</formula>
    </cfRule>
    <cfRule type="cellIs" dxfId="563" priority="701" operator="equal">
      <formula>"This Component has not been configured yet"</formula>
    </cfRule>
    <cfRule type="cellIs" dxfId="562" priority="697" operator="equal">
      <formula>"This component requires the D2L Keyset URL"</formula>
    </cfRule>
    <cfRule type="cellIs" dxfId="561" priority="698" operator="equal">
      <formula>"This component requires the D2L OpenID Connect Auth. Endpoint"</formula>
    </cfRule>
  </conditionalFormatting>
  <conditionalFormatting sqref="F34:F35">
    <cfRule type="expression" dxfId="560" priority="943">
      <formula>$C$14="Clever"</formula>
    </cfRule>
    <cfRule type="cellIs" dxfId="559" priority="944" operator="equal">
      <formula>"This component requires the APIdapter Client URL &amp; the Program GUID"</formula>
    </cfRule>
    <cfRule type="cellIs" dxfId="557" priority="946" operator="equal">
      <formula>"This component will be configured by APIdapter                                                    Record APIdapter Response HERE --&gt;"</formula>
    </cfRule>
    <cfRule type="cellIs" dxfId="556" priority="947" operator="equal">
      <formula>"This component requires the APIdapter Client URL"</formula>
    </cfRule>
    <cfRule type="cellIs" dxfId="555" priority="948" operator="equal">
      <formula>"This component requires the BB Developer Application ID"</formula>
    </cfRule>
    <cfRule type="cellIs" dxfId="554" priority="949" operator="equal">
      <formula>"n/a"</formula>
    </cfRule>
    <cfRule type="cellIs" dxfId="553" priority="950" operator="equal">
      <formula>"This component requires the Client's D2L Deployment ID"</formula>
    </cfRule>
    <cfRule type="cellIs" dxfId="552" priority="951" operator="equal">
      <formula>"This component requires the D2L Keyset URL"</formula>
    </cfRule>
    <cfRule type="cellIs" dxfId="551" priority="952" operator="equal">
      <formula>"This component requires the D2L OpenID Connect Auth. Endpoint"</formula>
    </cfRule>
    <cfRule type="cellIs" dxfId="550" priority="953" operator="equal">
      <formula>"This component requires the D2L Client ID"</formula>
    </cfRule>
    <cfRule type="cellIs" dxfId="549" priority="954" operator="equal">
      <formula>"This component requires the D2L Client-Specific Environment"</formula>
    </cfRule>
    <cfRule type="cellIs" dxfId="546" priority="957" operator="equal">
      <formula>"This Component has not been configured yet"</formula>
    </cfRule>
    <cfRule type="cellIs" dxfId="545" priority="958" operator="equal">
      <formula>"Not yet Configured"</formula>
    </cfRule>
    <cfRule type="expression" dxfId="544" priority="960">
      <formula>$C$12="List Management"</formula>
    </cfRule>
    <cfRule type="cellIs" dxfId="543" priority="961" operator="equal">
      <formula>"This component will be configured by APIdapter"</formula>
    </cfRule>
    <cfRule type="cellIs" dxfId="541" priority="962" operator="equal">
      <formula>"This component to be provided by the client"</formula>
    </cfRule>
    <cfRule type="cellIs" dxfId="540" priority="973" operator="equal">
      <formula>"This component requires the BB Developer Application ID"</formula>
    </cfRule>
    <cfRule type="expression" dxfId="539" priority="985">
      <formula>$C$12="List Management"</formula>
    </cfRule>
    <cfRule type="expression" dxfId="538" priority="984">
      <formula>$C$12="Clever"</formula>
    </cfRule>
    <cfRule type="cellIs" dxfId="537" priority="983" operator="equal">
      <formula>"Not yet Configured"</formula>
    </cfRule>
    <cfRule type="cellIs" dxfId="535" priority="975" operator="equal">
      <formula>"This component requires the Client's D2L Deployment ID"</formula>
    </cfRule>
    <cfRule type="cellIs" dxfId="534" priority="974" operator="equal">
      <formula>"n/a"</formula>
    </cfRule>
    <cfRule type="cellIs" dxfId="533" priority="972" operator="equal">
      <formula>"This component requires the APIdapter Client URL"</formula>
    </cfRule>
    <cfRule type="cellIs" dxfId="532" priority="971" operator="equal">
      <formula>"This component will be configured by APIdapter                                                    Record APIdapter Response HERE --&gt;"</formula>
    </cfRule>
    <cfRule type="cellIs" dxfId="530" priority="969" operator="equal">
      <formula>"This component requires the APIdapter Client URL &amp; the Program GUID"</formula>
    </cfRule>
    <cfRule type="expression" dxfId="529" priority="968">
      <formula>$C$14="Clever"</formula>
    </cfRule>
    <cfRule type="expression" dxfId="528" priority="967">
      <formula>$C$14="Google Classroom"</formula>
    </cfRule>
    <cfRule type="cellIs" dxfId="527" priority="966" operator="greaterThan">
      <formula>$C$14&lt;0</formula>
    </cfRule>
    <cfRule type="expression" dxfId="525" priority="964">
      <formula>$C$14="List Management"</formula>
    </cfRule>
    <cfRule type="cellIs" dxfId="524" priority="963" operator="equal">
      <formula>"This component is not necessary"</formula>
    </cfRule>
    <cfRule type="expression" dxfId="523" priority="939">
      <formula>$C$14="List Management"</formula>
    </cfRule>
    <cfRule type="cellIs" dxfId="521" priority="941" operator="greaterThan">
      <formula>$C$14&lt;0</formula>
    </cfRule>
    <cfRule type="expression" dxfId="520" priority="942">
      <formula>$C$14="Google Classroom"</formula>
    </cfRule>
    <cfRule type="expression" dxfId="519" priority="959">
      <formula>$C$12="Clever"</formula>
    </cfRule>
  </conditionalFormatting>
  <conditionalFormatting sqref="F20:G20 I20:J20">
    <cfRule type="containsText" dxfId="518" priority="632" operator="containsText" text="Check">
      <formula>NOT(ISERROR(SEARCH("Check",F20)))</formula>
    </cfRule>
  </conditionalFormatting>
  <conditionalFormatting sqref="F25:G25 I25:J25">
    <cfRule type="containsText" dxfId="517" priority="27" operator="containsText" text="Check">
      <formula>NOT(ISERROR(SEARCH("Check",F25)))</formula>
    </cfRule>
  </conditionalFormatting>
  <conditionalFormatting sqref="G2:G6">
    <cfRule type="cellIs" dxfId="516" priority="252" operator="equal">
      <formula>"This component requires the BB Developer Application ID"</formula>
    </cfRule>
    <cfRule type="cellIs" dxfId="515" priority="251" operator="equal">
      <formula>"n/a"</formula>
    </cfRule>
  </conditionalFormatting>
  <conditionalFormatting sqref="G8">
    <cfRule type="cellIs" dxfId="514" priority="234" operator="equal">
      <formula>"This component is not necessary"</formula>
    </cfRule>
    <cfRule type="cellIs" dxfId="513" priority="233" operator="equal">
      <formula>"n/a"</formula>
    </cfRule>
    <cfRule type="cellIs" dxfId="512" priority="232" operator="equal">
      <formula>"This component to be provided by the client"</formula>
    </cfRule>
    <cfRule type="cellIs" dxfId="511" priority="231" operator="equal">
      <formula>"This component will be configured by APIdapter"</formula>
    </cfRule>
    <cfRule type="cellIs" dxfId="510" priority="230" operator="equal">
      <formula>"Not yet Configured"</formula>
    </cfRule>
    <cfRule type="cellIs" dxfId="509" priority="229" operator="equal">
      <formula>"This Component has not been configured yet"</formula>
    </cfRule>
    <cfRule type="cellIs" dxfId="508" priority="227" operator="equal">
      <formula>"This component requires the D2L Client ID"</formula>
    </cfRule>
    <cfRule type="cellIs" dxfId="507" priority="226" operator="equal">
      <formula>"This component requires the D2L OpenID Connect Auth. Endpoint"</formula>
    </cfRule>
    <cfRule type="cellIs" dxfId="506" priority="221" operator="equal">
      <formula>"This component requires the APIdapter Client URL &amp; the Program GUID"</formula>
    </cfRule>
    <cfRule type="cellIs" dxfId="505" priority="224" operator="equal">
      <formula>"This component requires the Client's D2L Deployment ID"</formula>
    </cfRule>
    <cfRule type="cellIs" dxfId="504" priority="225" operator="equal">
      <formula>"This component requires the D2L Keyset URL"</formula>
    </cfRule>
    <cfRule type="cellIs" dxfId="503" priority="228" operator="equal">
      <formula>"This component requires the D2L Client-Specific Environment"</formula>
    </cfRule>
    <cfRule type="expression" dxfId="502" priority="214">
      <formula>$J$14&lt;&gt;"n/a"</formula>
    </cfRule>
    <cfRule type="expression" dxfId="501" priority="215">
      <formula>$J$14&lt;&gt;""</formula>
    </cfRule>
    <cfRule type="expression" dxfId="500" priority="216">
      <formula>$I$2="LTI 1.3 Migration"</formula>
    </cfRule>
    <cfRule type="cellIs" dxfId="499" priority="217" operator="equal">
      <formula>"n/a"</formula>
    </cfRule>
    <cfRule type="cellIs" dxfId="498" priority="218" operator="equal">
      <formula>"This component requires the BB Developer Application ID"</formula>
    </cfRule>
    <cfRule type="expression" dxfId="497" priority="219">
      <formula>$I$2="Ticket"</formula>
    </cfRule>
    <cfRule type="cellIs" dxfId="496" priority="220" operator="equal">
      <formula>"This component requires the BB Developer Application ID"</formula>
    </cfRule>
    <cfRule type="cellIs" dxfId="495" priority="222" operator="equal">
      <formula>"This component will be configured by APIdapter                                                    Record APIdapter Response HERE --&gt;"</formula>
    </cfRule>
    <cfRule type="cellIs" dxfId="494" priority="223" operator="equal">
      <formula>"This component requires the APIdapter Client URL"</formula>
    </cfRule>
  </conditionalFormatting>
  <conditionalFormatting sqref="G8:G9">
    <cfRule type="cellIs" dxfId="493" priority="70" operator="equal">
      <formula>"This component requires the APIdapter Client URL &amp; the Program GUID"</formula>
    </cfRule>
    <cfRule type="cellIs" dxfId="492" priority="69" operator="equal">
      <formula>"n/a"</formula>
    </cfRule>
    <cfRule type="cellIs" dxfId="491" priority="81" operator="equal">
      <formula>"This component will be configured by APIdapter"</formula>
    </cfRule>
    <cfRule type="cellIs" dxfId="490" priority="68" operator="equal">
      <formula>"This component requires the BB Developer Application ID"</formula>
    </cfRule>
    <cfRule type="cellIs" dxfId="489" priority="80" operator="equal">
      <formula>"Not yet Configured"</formula>
    </cfRule>
    <cfRule type="cellIs" dxfId="488" priority="79" operator="equal">
      <formula>"This Component has not been configured yet"</formula>
    </cfRule>
    <cfRule type="cellIs" dxfId="487" priority="78" operator="equal">
      <formula>"This component requires the D2L Client-Specific Environment"</formula>
    </cfRule>
    <cfRule type="cellIs" dxfId="486" priority="77" operator="equal">
      <formula>"This component requires the D2L Client ID"</formula>
    </cfRule>
    <cfRule type="cellIs" dxfId="485" priority="76" operator="equal">
      <formula>"This component requires the D2L OpenID Connect Auth. Endpoint"</formula>
    </cfRule>
    <cfRule type="cellIs" dxfId="484" priority="75" operator="equal">
      <formula>"This component requires the D2L Keyset URL"</formula>
    </cfRule>
    <cfRule type="cellIs" dxfId="483" priority="74" operator="equal">
      <formula>"This component requires the Client's D2L Deployment ID"</formula>
    </cfRule>
    <cfRule type="cellIs" dxfId="482" priority="72" operator="equal">
      <formula>"This component requires the APIdapter Client URL"</formula>
    </cfRule>
    <cfRule type="cellIs" dxfId="481" priority="71" operator="equal">
      <formula>"This component will be configured by APIdapter                                                    Record APIdapter Response HERE --&gt;"</formula>
    </cfRule>
    <cfRule type="cellIs" dxfId="480" priority="82" operator="equal">
      <formula>"This component to be provided by the client"</formula>
    </cfRule>
    <cfRule type="cellIs" dxfId="479" priority="83" operator="equal">
      <formula>"This component is not necessary"</formula>
    </cfRule>
  </conditionalFormatting>
  <conditionalFormatting sqref="G9">
    <cfRule type="expression" dxfId="478" priority="64">
      <formula>$I$2="LTI 1.3 Migration"</formula>
    </cfRule>
    <cfRule type="cellIs" dxfId="477" priority="73" operator="equal">
      <formula>"n/a"</formula>
    </cfRule>
    <cfRule type="expression" dxfId="476" priority="67">
      <formula>$I$2="Ticket"</formula>
    </cfRule>
    <cfRule type="cellIs" dxfId="475" priority="66" operator="equal">
      <formula>"This component requires the BB Developer Application ID"</formula>
    </cfRule>
    <cfRule type="expression" dxfId="474" priority="62">
      <formula>$J$14&lt;&gt;"n/a"</formula>
    </cfRule>
    <cfRule type="cellIs" dxfId="473" priority="65" operator="equal">
      <formula>"n/a"</formula>
    </cfRule>
    <cfRule type="expression" dxfId="472" priority="63">
      <formula>$J$14&lt;&gt;""</formula>
    </cfRule>
  </conditionalFormatting>
  <conditionalFormatting sqref="G14">
    <cfRule type="expression" dxfId="471" priority="1307">
      <formula>$C$14="Canvas - LTI 1.3 - All Types of Placement"</formula>
    </cfRule>
    <cfRule type="expression" dxfId="470" priority="1308">
      <formula>$C$14="Canvas - LTI 1.3 Link &amp; Course NAV"</formula>
    </cfRule>
  </conditionalFormatting>
  <conditionalFormatting sqref="G33 G36:I36 G42:I42 G48:I48">
    <cfRule type="expression" dxfId="469" priority="1761">
      <formula>A33="Apidapter Configuration"</formula>
    </cfRule>
  </conditionalFormatting>
  <conditionalFormatting sqref="G37:G41">
    <cfRule type="cellIs" dxfId="468" priority="1447" operator="greaterThan">
      <formula>0</formula>
    </cfRule>
  </conditionalFormatting>
  <conditionalFormatting sqref="G44:G45">
    <cfRule type="cellIs" dxfId="466" priority="270" operator="equal">
      <formula>"This Component has not been configured yet"</formula>
    </cfRule>
    <cfRule type="cellIs" dxfId="465" priority="269" operator="equal">
      <formula>"This component requires the D2L Client-Specific Environment"</formula>
    </cfRule>
    <cfRule type="cellIs" dxfId="464" priority="268" operator="equal">
      <formula>"This component requires the D2L Client ID"</formula>
    </cfRule>
    <cfRule type="cellIs" dxfId="463" priority="266" operator="equal">
      <formula>"This component requires the D2L Keyset URL"</formula>
    </cfRule>
    <cfRule type="cellIs" dxfId="462" priority="265" operator="equal">
      <formula>"This component requires the Client's D2L Deployment ID"</formula>
    </cfRule>
    <cfRule type="expression" dxfId="461" priority="272">
      <formula>$C$14="Google Classroom"</formula>
    </cfRule>
    <cfRule type="cellIs" dxfId="460" priority="264" operator="equal">
      <formula>"n/a"</formula>
    </cfRule>
    <cfRule type="cellIs" dxfId="459" priority="274" operator="equal">
      <formula>"This component to be provided by the client"</formula>
    </cfRule>
    <cfRule type="cellIs" dxfId="458" priority="263" operator="equal">
      <formula>"This component requires the BB Developer Application ID"</formula>
    </cfRule>
    <cfRule type="cellIs" dxfId="457" priority="275" operator="greaterThan">
      <formula>0</formula>
    </cfRule>
    <cfRule type="cellIs" dxfId="456" priority="276" operator="equal">
      <formula>"This component is not necessary"</formula>
    </cfRule>
    <cfRule type="cellIs" dxfId="455" priority="262" operator="equal">
      <formula>"This component requires the APIdapter Client URL"</formula>
    </cfRule>
    <cfRule type="cellIs" dxfId="454" priority="261" operator="equal">
      <formula>"This component will be configured by APIdapter                                                    Record APIdapter Response HERE --&gt;"</formula>
    </cfRule>
    <cfRule type="cellIs" dxfId="453" priority="260" operator="equal">
      <formula>"This component requires the APIdapter Client URL &amp; the Program GUID"</formula>
    </cfRule>
    <cfRule type="cellIs" dxfId="452" priority="255" operator="greaterThan">
      <formula>0</formula>
    </cfRule>
    <cfRule type="cellIs" dxfId="451" priority="273" operator="equal">
      <formula>"This component will be configured by APIdapter"</formula>
    </cfRule>
    <cfRule type="expression" dxfId="450" priority="259">
      <formula>$I$2="LTI 1.3 Migration"</formula>
    </cfRule>
    <cfRule type="cellIs" dxfId="449" priority="267" operator="equal">
      <formula>"This component requires the D2L OpenID Connect Auth. Endpoint"</formula>
    </cfRule>
    <cfRule type="cellIs" dxfId="448" priority="271" operator="equal">
      <formula>"Not yet Configured"</formula>
    </cfRule>
  </conditionalFormatting>
  <conditionalFormatting sqref="G35:H35 A44:C45 A46:J56 A36:J41 C42:J42 A43:J43 A33:I33 A34:B35 A57 C57:J58 A59:J59 A60 C60:J61 A62:J62 A63 C63:J64 A65:J2023 A30:B31 A42 E14:J14 A22:C25 G1:J1 A1:A2 G2:H2 G2:G6 A10 E10:E13 A11:C14 F13:J13 A15:J15 A16:H16 A21:J21 A26:J26 H27:I28 A32:C32 I32:J32 J35 A2024:B2024 A2025:A2078 A2060:J2060 A2079:J2079 A2081:J1048576">
    <cfRule type="cellIs" dxfId="447" priority="1618" operator="equal">
      <formula>"This component to be provided by the client"</formula>
    </cfRule>
    <cfRule type="cellIs" dxfId="446" priority="1617" operator="equal">
      <formula>"This component will be configured by APIdapter"</formula>
    </cfRule>
  </conditionalFormatting>
  <conditionalFormatting sqref="G35:H35 A36:J41 C42:J42 A43:J43 A44:C45 A46:J56 A42 E14:J14 A22:C25 G1:J1 A1:A2 G2:H2 G2:G6 A10 E10:E13 A11:C14 F13:J13 A15:J15 A16:H16 A21:J21 A26:J26 H27:I28 I32:J32 A33:I33 A34:B35 J35 A57 C57:J58 A59:J59 A60 C60:J61 A62:J62 A63 C63:J64 A65:J2023 A2024:B2024 A2025:A2078 A2060:J2060 A2079:J2079 A2081:J1048576">
    <cfRule type="cellIs" dxfId="445" priority="1522" operator="equal">
      <formula>"This component will be configured by APIdapter                                                    Record APIdapter Response HERE --&gt;"</formula>
    </cfRule>
  </conditionalFormatting>
  <conditionalFormatting sqref="G35:H35 C36:J43 E34:F35 C44:F45 C46:J47">
    <cfRule type="expression" dxfId="441" priority="1171">
      <formula>$C$14="Custom SAML"</formula>
    </cfRule>
  </conditionalFormatting>
  <conditionalFormatting sqref="G35:H35 C36:J43">
    <cfRule type="expression" dxfId="440" priority="1150">
      <formula>$C$14="Google Classroom"</formula>
    </cfRule>
  </conditionalFormatting>
  <conditionalFormatting sqref="G35:H35">
    <cfRule type="cellIs" dxfId="439" priority="1020" operator="equal">
      <formula>"This component requires the Client's D2L Deployment ID"</formula>
    </cfRule>
    <cfRule type="expression" dxfId="438" priority="1611">
      <formula>$C$12="List Management"</formula>
    </cfRule>
    <cfRule type="cellIs" dxfId="437" priority="1017" operator="equal">
      <formula>"This component will be configured by APIdapter                                                    Record APIdapter Response HERE --&gt;"</formula>
    </cfRule>
    <cfRule type="cellIs" dxfId="436" priority="1018" operator="equal">
      <formula>"This component requires the APIdapter Client URL"</formula>
    </cfRule>
    <cfRule type="cellIs" dxfId="435" priority="1019" operator="equal">
      <formula>"n/a"</formula>
    </cfRule>
    <cfRule type="cellIs" dxfId="434" priority="518" operator="equal">
      <formula>"This component requires the BB Developer Application ID"</formula>
    </cfRule>
    <cfRule type="cellIs" dxfId="433" priority="1021" operator="equal">
      <formula>"Not yet Configured"</formula>
    </cfRule>
    <cfRule type="cellIs" dxfId="432" priority="1022" operator="equal">
      <formula>"n/a"</formula>
    </cfRule>
    <cfRule type="expression" dxfId="431" priority="1036">
      <formula>$C$14="List Management"</formula>
    </cfRule>
    <cfRule type="cellIs" dxfId="430" priority="1088" operator="greaterThan">
      <formula>$C$14&lt;0</formula>
    </cfRule>
    <cfRule type="expression" dxfId="429" priority="1582">
      <formula>$C$12="Clever"</formula>
    </cfRule>
    <cfRule type="expression" dxfId="428" priority="1149">
      <formula>$C$14="Clever"</formula>
    </cfRule>
  </conditionalFormatting>
  <conditionalFormatting sqref="G37:J41">
    <cfRule type="cellIs" dxfId="427" priority="684" operator="equal">
      <formula>"This component requires the Jenzabar Client-Specific Environment"</formula>
    </cfRule>
    <cfRule type="cellIs" dxfId="426" priority="900" operator="equal">
      <formula>"This component requires the Moodle Client-Specific Environment"</formula>
    </cfRule>
  </conditionalFormatting>
  <conditionalFormatting sqref="G44:J45">
    <cfRule type="expression" dxfId="425" priority="258">
      <formula>$C$14="Custom SAML"</formula>
    </cfRule>
    <cfRule type="expression" dxfId="424" priority="257">
      <formula>$E44="Record APIdapter Response HERE --&gt;"</formula>
    </cfRule>
  </conditionalFormatting>
  <conditionalFormatting sqref="H1">
    <cfRule type="cellIs" dxfId="423" priority="1137" operator="greaterThan">
      <formula>0</formula>
    </cfRule>
    <cfRule type="cellIs" dxfId="422" priority="1177" operator="equal">
      <formula>"n/a"</formula>
    </cfRule>
  </conditionalFormatting>
  <conditionalFormatting sqref="H2 A10">
    <cfRule type="cellIs" dxfId="421" priority="1276" operator="equal">
      <formula>"n/a"</formula>
    </cfRule>
  </conditionalFormatting>
  <conditionalFormatting sqref="H2">
    <cfRule type="notContainsBlanks" dxfId="420" priority="2040">
      <formula>LEN(TRIM(H2))&gt;0</formula>
    </cfRule>
  </conditionalFormatting>
  <conditionalFormatting sqref="H3">
    <cfRule type="cellIs" dxfId="419" priority="360" operator="equal">
      <formula>"This component requires the Client's D2L Deployment ID"</formula>
    </cfRule>
    <cfRule type="cellIs" dxfId="418" priority="359" operator="equal">
      <formula>"n/a"</formula>
    </cfRule>
    <cfRule type="cellIs" dxfId="417" priority="358" operator="equal">
      <formula>"This component requires the APIdapter Client URL"</formula>
    </cfRule>
    <cfRule type="cellIs" dxfId="416" priority="357" operator="equal">
      <formula>"This component will be configured by APIdapter                                                    Record APIdapter Response HERE --&gt;"</formula>
    </cfRule>
    <cfRule type="cellIs" dxfId="415" priority="355" operator="equal">
      <formula>"This component requires the BB Developer Application ID"</formula>
    </cfRule>
    <cfRule type="cellIs" dxfId="414" priority="356" operator="equal">
      <formula>"This component requires the APIdapter Client URL &amp; the Program GUID"</formula>
    </cfRule>
    <cfRule type="cellIs" dxfId="413" priority="365" operator="equal">
      <formula>"This Component has not been configured yet"</formula>
    </cfRule>
    <cfRule type="cellIs" dxfId="412" priority="366" operator="equal">
      <formula>"Not yet Configured"</formula>
    </cfRule>
    <cfRule type="cellIs" dxfId="411" priority="367" operator="equal">
      <formula>"This component will be configured by APIdapter"</formula>
    </cfRule>
    <cfRule type="expression" dxfId="410" priority="247">
      <formula>$I$2="LTI 1.3 Migration"</formula>
    </cfRule>
    <cfRule type="cellIs" dxfId="409" priority="369" operator="equal">
      <formula>"This component is not necessary"</formula>
    </cfRule>
    <cfRule type="cellIs" dxfId="408" priority="361" operator="equal">
      <formula>"This component requires the D2L Keyset URL"</formula>
    </cfRule>
    <cfRule type="cellIs" dxfId="407" priority="362" operator="equal">
      <formula>"This component requires the D2L OpenID Connect Auth. Endpoint"</formula>
    </cfRule>
    <cfRule type="cellIs" dxfId="406" priority="363" operator="equal">
      <formula>"This component requires the D2L Client ID"</formula>
    </cfRule>
    <cfRule type="cellIs" dxfId="405" priority="364" operator="equal">
      <formula>"This component requires the D2L Client-Specific Environment"</formula>
    </cfRule>
    <cfRule type="cellIs" dxfId="404" priority="368" operator="equal">
      <formula>"This component to be provided by the client"</formula>
    </cfRule>
  </conditionalFormatting>
  <conditionalFormatting sqref="H3:H6">
    <cfRule type="cellIs" dxfId="403" priority="240" operator="greaterThan">
      <formula>0</formula>
    </cfRule>
  </conditionalFormatting>
  <conditionalFormatting sqref="H8">
    <cfRule type="expression" dxfId="402" priority="159">
      <formula>$I$2="LTI 1.3 Migration"</formula>
    </cfRule>
  </conditionalFormatting>
  <conditionalFormatting sqref="H8:H9">
    <cfRule type="cellIs" dxfId="401" priority="56" operator="greaterThan">
      <formula>0</formula>
    </cfRule>
    <cfRule type="expression" dxfId="400" priority="57">
      <formula>$I$2="LTI 1.3 Migration"</formula>
    </cfRule>
  </conditionalFormatting>
  <conditionalFormatting sqref="H14">
    <cfRule type="expression" dxfId="399" priority="1285">
      <formula>$C$14="Canvas - LTI 1.3 - All Types of Placement"</formula>
    </cfRule>
    <cfRule type="expression" dxfId="398" priority="1286">
      <formula>$C$14="Canvas - LTI 1.3 Link &amp; Course NAV"</formula>
    </cfRule>
    <cfRule type="cellIs" dxfId="397" priority="1287" operator="equal">
      <formula>"n/a"</formula>
    </cfRule>
    <cfRule type="cellIs" dxfId="396" priority="1327" operator="greaterThan">
      <formula>0</formula>
    </cfRule>
  </conditionalFormatting>
  <conditionalFormatting sqref="H34">
    <cfRule type="expression" dxfId="395" priority="690">
      <formula>$F$34&lt;&gt;""</formula>
    </cfRule>
  </conditionalFormatting>
  <conditionalFormatting sqref="H27:I28">
    <cfRule type="cellIs" dxfId="394" priority="1602" operator="equal">
      <formula>"n/a"</formula>
    </cfRule>
  </conditionalFormatting>
  <conditionalFormatting sqref="H30:I30 H29">
    <cfRule type="expression" dxfId="393" priority="1421">
      <formula>$C$14="Custom SAML"</formula>
    </cfRule>
    <cfRule type="expression" dxfId="392" priority="1424">
      <formula>$C$14="Clever"</formula>
    </cfRule>
    <cfRule type="expression" dxfId="391" priority="1426">
      <formula>$C$14="Google Classroom"</formula>
    </cfRule>
  </conditionalFormatting>
  <conditionalFormatting sqref="H33:I33">
    <cfRule type="expression" dxfId="390" priority="1814">
      <formula>C33="Apidapter Configuration"</formula>
    </cfRule>
  </conditionalFormatting>
  <conditionalFormatting sqref="H2:J6">
    <cfRule type="cellIs" dxfId="389" priority="1169" operator="equal">
      <formula>""</formula>
    </cfRule>
  </conditionalFormatting>
  <conditionalFormatting sqref="H14:J14">
    <cfRule type="cellIs" dxfId="388" priority="18" operator="greaterThan">
      <formula>0</formula>
    </cfRule>
  </conditionalFormatting>
  <conditionalFormatting sqref="H21:J21">
    <cfRule type="cellIs" dxfId="387" priority="573" operator="equal">
      <formula>"n/a"</formula>
    </cfRule>
  </conditionalFormatting>
  <conditionalFormatting sqref="I8">
    <cfRule type="cellIs" dxfId="386" priority="116" operator="equal">
      <formula>"n/a"</formula>
    </cfRule>
  </conditionalFormatting>
  <conditionalFormatting sqref="I9">
    <cfRule type="expression" dxfId="385" priority="168">
      <formula>$H$9="Other"</formula>
    </cfRule>
    <cfRule type="cellIs" dxfId="384" priority="171" operator="equal">
      <formula>"n/a"</formula>
    </cfRule>
  </conditionalFormatting>
  <conditionalFormatting sqref="I9:I10">
    <cfRule type="cellIs" dxfId="383" priority="180" operator="equal">
      <formula>"This component requires the Client's D2L Deployment ID"</formula>
    </cfRule>
    <cfRule type="cellIs" dxfId="382" priority="179" operator="equal">
      <formula>"n/a"</formula>
    </cfRule>
    <cfRule type="cellIs" dxfId="381" priority="176" operator="equal">
      <formula>"This component requires the APIdapter Client URL &amp; the Program GUID"</formula>
    </cfRule>
    <cfRule type="cellIs" dxfId="380" priority="178" operator="equal">
      <formula>"This component requires the APIdapter Client URL"</formula>
    </cfRule>
    <cfRule type="cellIs" dxfId="379" priority="177" operator="equal">
      <formula>"This component will be configured by APIdapter                                                    Record APIdapter Response HERE --&gt;"</formula>
    </cfRule>
    <cfRule type="cellIs" dxfId="378" priority="183" operator="equal">
      <formula>"This component requires the D2L Client ID"</formula>
    </cfRule>
    <cfRule type="cellIs" dxfId="377" priority="189" operator="equal">
      <formula>"This component is not necessary"</formula>
    </cfRule>
    <cfRule type="cellIs" dxfId="376" priority="188" operator="equal">
      <formula>"This component to be provided by the client"</formula>
    </cfRule>
    <cfRule type="cellIs" dxfId="375" priority="187" operator="equal">
      <formula>"This component will be configured by APIdapter"</formula>
    </cfRule>
    <cfRule type="cellIs" dxfId="374" priority="186" operator="equal">
      <formula>"Not yet Configured"</formula>
    </cfRule>
    <cfRule type="cellIs" dxfId="373" priority="185" operator="equal">
      <formula>"This Component has not been configured yet"</formula>
    </cfRule>
    <cfRule type="cellIs" dxfId="372" priority="184" operator="equal">
      <formula>"This component requires the D2L Client-Specific Environment"</formula>
    </cfRule>
    <cfRule type="cellIs" dxfId="371" priority="182" operator="equal">
      <formula>"This component requires the D2L OpenID Connect Auth. Endpoint"</formula>
    </cfRule>
    <cfRule type="cellIs" dxfId="370" priority="181" operator="equal">
      <formula>"This component requires the D2L Keyset URL"</formula>
    </cfRule>
    <cfRule type="cellIs" dxfId="369" priority="172" operator="equal">
      <formula>"This component requires the BB Developer Application ID"</formula>
    </cfRule>
  </conditionalFormatting>
  <conditionalFormatting sqref="I27:I31">
    <cfRule type="notContainsBlanks" dxfId="368" priority="2039">
      <formula>LEN(TRIM(I27))&gt;0</formula>
    </cfRule>
  </conditionalFormatting>
  <conditionalFormatting sqref="I29">
    <cfRule type="expression" dxfId="367" priority="1446">
      <formula>$C$14="Clever"</formula>
    </cfRule>
    <cfRule type="expression" dxfId="366" priority="1816">
      <formula>$C$14="Google Classroom"</formula>
    </cfRule>
  </conditionalFormatting>
  <conditionalFormatting sqref="I29:I31">
    <cfRule type="notContainsBlanks" dxfId="365" priority="2041">
      <formula>LEN(TRIM(I29))&gt;0</formula>
    </cfRule>
  </conditionalFormatting>
  <conditionalFormatting sqref="I30">
    <cfRule type="expression" dxfId="364" priority="1422">
      <formula>$C$14="Clever"</formula>
    </cfRule>
    <cfRule type="expression" dxfId="363" priority="696">
      <formula>$C$14="Custom SAML"</formula>
    </cfRule>
    <cfRule type="expression" dxfId="362" priority="1383">
      <formula>$C$14="Google Classroom"</formula>
    </cfRule>
  </conditionalFormatting>
  <conditionalFormatting sqref="I30:I31">
    <cfRule type="expression" dxfId="361" priority="1423">
      <formula>$C$14="Blackboard - LTI 1.3"</formula>
    </cfRule>
  </conditionalFormatting>
  <conditionalFormatting sqref="I34">
    <cfRule type="expression" dxfId="360" priority="740">
      <formula>$I$34&lt;&gt;""</formula>
    </cfRule>
    <cfRule type="notContainsBlanks" dxfId="359" priority="695">
      <formula>LEN(TRIM(I34))&gt;0</formula>
    </cfRule>
  </conditionalFormatting>
  <conditionalFormatting sqref="I8:J8">
    <cfRule type="cellIs" dxfId="358" priority="95" operator="equal">
      <formula>"This Component has not been configured yet"</formula>
    </cfRule>
    <cfRule type="cellIs" dxfId="357" priority="97" operator="equal">
      <formula>"n/a"</formula>
    </cfRule>
    <cfRule type="cellIs" dxfId="356" priority="98" operator="equal">
      <formula>"This component will be configured by APIdapter"</formula>
    </cfRule>
    <cfRule type="cellIs" dxfId="355" priority="92" operator="equal">
      <formula>"This component requires the D2L OpenID Connect Auth. Endpoint"</formula>
    </cfRule>
    <cfRule type="cellIs" dxfId="354" priority="100" operator="equal">
      <formula>"This component is not necessary"</formula>
    </cfRule>
    <cfRule type="cellIs" dxfId="353" priority="99" operator="equal">
      <formula>"This component to be provided by the client"</formula>
    </cfRule>
    <cfRule type="cellIs" dxfId="352" priority="96" operator="equal">
      <formula>"Not yet Configured"</formula>
    </cfRule>
    <cfRule type="cellIs" dxfId="351" priority="91" operator="equal">
      <formula>"This component requires the D2L Keyset URL"</formula>
    </cfRule>
    <cfRule type="cellIs" dxfId="350" priority="90" operator="equal">
      <formula>"This component requires the Client's D2L Deployment ID"</formula>
    </cfRule>
    <cfRule type="cellIs" dxfId="349" priority="93" operator="equal">
      <formula>"This component requires the D2L Client ID"</formula>
    </cfRule>
    <cfRule type="cellIs" dxfId="348" priority="88" operator="equal">
      <formula>"This component requires the APIdapter Client URL"</formula>
    </cfRule>
    <cfRule type="cellIs" dxfId="347" priority="87" operator="equal">
      <formula>"This component will be configured by APIdapter                                                    Record APIdapter Response HERE --&gt;"</formula>
    </cfRule>
    <cfRule type="cellIs" dxfId="346" priority="86" operator="equal">
      <formula>"This component requires the APIdapter Client URL &amp; the Program GUID"</formula>
    </cfRule>
    <cfRule type="cellIs" dxfId="345" priority="85" operator="equal">
      <formula>"This component requires the BB Developer Application ID"</formula>
    </cfRule>
    <cfRule type="cellIs" dxfId="344" priority="94" operator="equal">
      <formula>"This component requires the D2L Client-Specific Environment"</formula>
    </cfRule>
  </conditionalFormatting>
  <conditionalFormatting sqref="I29:J29">
    <cfRule type="expression" dxfId="343" priority="1311">
      <formula>$I$29="Please Provide a Friendly Path"</formula>
    </cfRule>
  </conditionalFormatting>
  <conditionalFormatting sqref="I32:J32">
    <cfRule type="cellIs" dxfId="342" priority="1590" operator="greaterThan">
      <formula>0</formula>
    </cfRule>
  </conditionalFormatting>
  <conditionalFormatting sqref="J1 H1:H2">
    <cfRule type="cellIs" dxfId="341" priority="1168" operator="greaterThan">
      <formula>0</formula>
    </cfRule>
  </conditionalFormatting>
  <conditionalFormatting sqref="J1">
    <cfRule type="cellIs" dxfId="340" priority="1172" operator="equal">
      <formula>"n/a"</formula>
    </cfRule>
    <cfRule type="cellIs" dxfId="339" priority="1141" operator="greaterThan">
      <formula>0</formula>
    </cfRule>
  </conditionalFormatting>
  <conditionalFormatting sqref="J8">
    <cfRule type="cellIs" dxfId="338" priority="89" operator="equal">
      <formula>"n/a"</formula>
    </cfRule>
    <cfRule type="cellIs" dxfId="337" priority="84" operator="greaterThan">
      <formula>0</formula>
    </cfRule>
  </conditionalFormatting>
  <conditionalFormatting sqref="J9">
    <cfRule type="expression" dxfId="336" priority="136">
      <formula>$H$9="Other"</formula>
    </cfRule>
    <cfRule type="expression" dxfId="335" priority="137">
      <formula>$I$4&lt;&gt;""</formula>
    </cfRule>
    <cfRule type="expression" dxfId="334" priority="135">
      <formula>$I$2="LTI 1.3 Migration"</formula>
    </cfRule>
    <cfRule type="expression" dxfId="333" priority="139">
      <formula>$I$2="Ticket"</formula>
    </cfRule>
    <cfRule type="cellIs" dxfId="332" priority="134" operator="greaterThan">
      <formula>0</formula>
    </cfRule>
    <cfRule type="expression" dxfId="331" priority="138">
      <formula>$I$2="LTI 1.3 Migration"</formula>
    </cfRule>
  </conditionalFormatting>
  <conditionalFormatting sqref="J17:J20">
    <cfRule type="expression" dxfId="330" priority="614">
      <formula>$C$17=""</formula>
    </cfRule>
    <cfRule type="expression" dxfId="329" priority="621">
      <formula>$C$17="n/a"</formula>
    </cfRule>
  </conditionalFormatting>
  <conditionalFormatting sqref="J20">
    <cfRule type="expression" dxfId="328" priority="608">
      <formula>$C$17="n/a"</formula>
    </cfRule>
    <cfRule type="expression" dxfId="327" priority="609">
      <formula>$C$17=""</formula>
    </cfRule>
  </conditionalFormatting>
  <conditionalFormatting sqref="J21">
    <cfRule type="cellIs" dxfId="326" priority="575" operator="greaterThan">
      <formula>0</formula>
    </cfRule>
  </conditionalFormatting>
  <conditionalFormatting sqref="J22:J25">
    <cfRule type="expression" dxfId="325" priority="23">
      <formula>$C$22=""</formula>
    </cfRule>
    <cfRule type="expression" dxfId="324" priority="24">
      <formula>$C$22="n/a"</formula>
    </cfRule>
  </conditionalFormatting>
  <conditionalFormatting sqref="J25">
    <cfRule type="expression" dxfId="323" priority="20">
      <formula>$C$22=""</formula>
    </cfRule>
    <cfRule type="expression" dxfId="322" priority="19">
      <formula>$C$22="n/a"</formula>
    </cfRule>
  </conditionalFormatting>
  <conditionalFormatting sqref="J35">
    <cfRule type="cellIs" dxfId="321" priority="15" operator="equal">
      <formula>"This component requires the BB Developer Application ID"</formula>
    </cfRule>
    <cfRule type="cellIs" dxfId="320" priority="17" operator="greaterThan">
      <formula>0</formula>
    </cfRule>
    <cfRule type="cellIs" dxfId="319" priority="16" operator="equal">
      <formula>"n/a"</formula>
    </cfRule>
  </conditionalFormatting>
  <conditionalFormatting sqref="J36 J42 J48">
    <cfRule type="expression" dxfId="318" priority="1818">
      <formula>C36="Apidapter Configuration"</formula>
    </cfRule>
  </conditionalFormatting>
  <conditionalFormatting sqref="L26">
    <cfRule type="expression" dxfId="307" priority="1455">
      <formula>$C$14="Blackboard - LTI 1.3"</formula>
    </cfRule>
  </conditionalFormatting>
  <conditionalFormatting sqref="L27:L28 L30:L38 H30:I31 L40:L46 L51:L54">
    <cfRule type="expression" dxfId="306" priority="1539">
      <formula>$C$14="Blackboard - LTI 1.3"</formula>
    </cfRule>
  </conditionalFormatting>
  <conditionalFormatting sqref="L27:L32">
    <cfRule type="expression" dxfId="305" priority="1429">
      <formula>$C$14="Moodle - LTI 1.3"</formula>
    </cfRule>
    <cfRule type="expression" dxfId="304" priority="1450">
      <formula>$C$14="D2L - LTI 1.3"</formula>
    </cfRule>
    <cfRule type="expression" dxfId="303" priority="687">
      <formula>$C$14="Jenzabar - LTI 1.3"</formula>
    </cfRule>
  </conditionalFormatting>
  <conditionalFormatting sqref="L48:L49">
    <cfRule type="expression" dxfId="302" priority="1479">
      <formula>$C$14="Blackboard - LTI 1.3"</formula>
    </cfRule>
  </conditionalFormatting>
  <conditionalFormatting sqref="L50 L47 L39:N39 M51:N54">
    <cfRule type="expression" dxfId="301" priority="1458">
      <formula>$C$14="Blackboard - LTI 1.3"</formula>
    </cfRule>
  </conditionalFormatting>
  <conditionalFormatting sqref="L50">
    <cfRule type="expression" dxfId="300" priority="1435">
      <formula>$C$14="Blackboard - LTI 1.3"</formula>
    </cfRule>
  </conditionalFormatting>
  <conditionalFormatting sqref="L29:M29 L39:M39 L47">
    <cfRule type="expression" dxfId="286" priority="1145">
      <formula>$C$14="Blackboard - LTI 1.3"</formula>
    </cfRule>
  </conditionalFormatting>
  <conditionalFormatting sqref="L26:N26">
    <cfRule type="expression" dxfId="285" priority="688">
      <formula>$C$14="Jenzabar - LTI 1.3"</formula>
    </cfRule>
    <cfRule type="expression" dxfId="284" priority="1432">
      <formula>$C$14="D2L - LTI 1.3"</formula>
    </cfRule>
    <cfRule type="expression" dxfId="283" priority="1431">
      <formula>$C$14="Moodle - LTI 1.3"</formula>
    </cfRule>
  </conditionalFormatting>
  <conditionalFormatting sqref="L29:N29 L39:N39 L47">
    <cfRule type="expression" dxfId="282" priority="901">
      <formula>$C$14="Blackboard - LTI 1.3"</formula>
    </cfRule>
  </conditionalFormatting>
  <conditionalFormatting sqref="L47:N48">
    <cfRule type="cellIs" dxfId="281" priority="1433" operator="equal">
      <formula>"This componet requires the Client KEY"</formula>
    </cfRule>
  </conditionalFormatting>
  <conditionalFormatting sqref="M4">
    <cfRule type="cellIs" dxfId="270" priority="2031" operator="greaterThan">
      <formula>0</formula>
    </cfRule>
    <cfRule type="expression" dxfId="269" priority="2030">
      <formula>$L$2=""</formula>
    </cfRule>
  </conditionalFormatting>
  <conditionalFormatting sqref="M27">
    <cfRule type="expression" dxfId="263" priority="1143">
      <formula>$F$34&lt;&gt;""</formula>
    </cfRule>
  </conditionalFormatting>
  <conditionalFormatting sqref="M27:M32">
    <cfRule type="expression" dxfId="262" priority="902">
      <formula>$M27="https://api.apidapter.com"</formula>
    </cfRule>
    <cfRule type="expression" dxfId="261" priority="1473">
      <formula>$C$14="D2L - LTI 1.3"</formula>
    </cfRule>
    <cfRule type="expression" dxfId="260" priority="619">
      <formula>$C$14="Jenzabar - LTI 1.3"</formula>
    </cfRule>
    <cfRule type="expression" dxfId="259" priority="686">
      <formula>$C$14="Moodle - LTI 1.3"</formula>
    </cfRule>
  </conditionalFormatting>
  <conditionalFormatting sqref="M27:M38">
    <cfRule type="expression" dxfId="258" priority="1430">
      <formula>$C$14="Blackboard - LTI 1.3"</formula>
    </cfRule>
  </conditionalFormatting>
  <conditionalFormatting sqref="M30">
    <cfRule type="cellIs" dxfId="257" priority="1469" operator="equal">
      <formula>"Enter BB Developer Application ID--&gt;"</formula>
    </cfRule>
  </conditionalFormatting>
  <conditionalFormatting sqref="M49">
    <cfRule type="expression" dxfId="256" priority="1489">
      <formula>$C$14="Blackboard - LTI 1.3"</formula>
    </cfRule>
    <cfRule type="cellIs" dxfId="255" priority="1462" operator="greaterThan">
      <formula>0</formula>
    </cfRule>
  </conditionalFormatting>
  <conditionalFormatting sqref="M52">
    <cfRule type="cellIs" dxfId="254" priority="1460" operator="equal">
      <formula>"This component requires the BB Developer Application ID"</formula>
    </cfRule>
  </conditionalFormatting>
  <conditionalFormatting sqref="M26:N26">
    <cfRule type="expression" dxfId="253" priority="904">
      <formula>$C$14="Blackboard - LTI 1.3"</formula>
    </cfRule>
  </conditionalFormatting>
  <conditionalFormatting sqref="M40:N46">
    <cfRule type="expression" dxfId="252" priority="1445">
      <formula>$C$14="Blackboard - LTI 1.3"</formula>
    </cfRule>
  </conditionalFormatting>
  <conditionalFormatting sqref="M48:N48">
    <cfRule type="expression" dxfId="251" priority="1456">
      <formula>$C$14="Blackboard - LTI 1.3"</formula>
    </cfRule>
  </conditionalFormatting>
  <conditionalFormatting sqref="N2:N6">
    <cfRule type="expression" dxfId="250" priority="894">
      <formula>$I$2="LTI 1.3 Migration"</formula>
    </cfRule>
  </conditionalFormatting>
  <conditionalFormatting sqref="N27">
    <cfRule type="expression" dxfId="249" priority="903">
      <formula>$M27&lt;&gt;""</formula>
    </cfRule>
  </conditionalFormatting>
  <conditionalFormatting sqref="N27:N29 N31:N38">
    <cfRule type="expression" dxfId="248" priority="1731">
      <formula>$C$14="Blackboard - LTI 1.3"</formula>
    </cfRule>
  </conditionalFormatting>
  <conditionalFormatting sqref="N27:N31 N34:N35 M49">
    <cfRule type="cellIs" dxfId="247" priority="912" operator="greaterThan">
      <formula>0</formula>
    </cfRule>
  </conditionalFormatting>
  <conditionalFormatting sqref="N27:N32">
    <cfRule type="cellIs" dxfId="246" priority="685" operator="greaterThan">
      <formula>0</formula>
    </cfRule>
    <cfRule type="expression" dxfId="245" priority="1271">
      <formula>$C$14="Moodle - LTI 1.3"</formula>
    </cfRule>
    <cfRule type="expression" dxfId="244" priority="822">
      <formula>$C$14="Jenzabar - LTI 1.3"</formula>
    </cfRule>
  </conditionalFormatting>
  <conditionalFormatting sqref="N28:N29">
    <cfRule type="expression" dxfId="243" priority="1448">
      <formula>$C$14="D2L - LTI 1.3"</formula>
    </cfRule>
  </conditionalFormatting>
  <conditionalFormatting sqref="N30">
    <cfRule type="expression" dxfId="242" priority="826">
      <formula>$C$14="Blackboard - LTI 1.3"</formula>
    </cfRule>
    <cfRule type="cellIs" dxfId="241" priority="825" operator="equal">
      <formula>"n/a"</formula>
    </cfRule>
    <cfRule type="expression" dxfId="240" priority="824">
      <formula>$C$14="Blackboard - LTI 1.3"</formula>
    </cfRule>
  </conditionalFormatting>
  <conditionalFormatting sqref="N30:N32">
    <cfRule type="expression" dxfId="239" priority="823">
      <formula>$C$14="D2L - LTI 1.3"</formula>
    </cfRule>
  </conditionalFormatting>
  <conditionalFormatting sqref="N49">
    <cfRule type="expression" dxfId="238" priority="1451">
      <formula>$M$49&lt;&gt;""</formula>
    </cfRule>
    <cfRule type="cellIs" dxfId="237" priority="1452" operator="equal">
      <formula>" &lt;-- This component requires a Custom AP to be entered"</formula>
    </cfRule>
  </conditionalFormatting>
  <dataValidations count="6">
    <dataValidation allowBlank="1" showInputMessage="1" sqref="F16:F17 C34:C35 H19:J19 D19:D21 C52:J53 C27:C32 D30:G30 I22:J22 D16 E14:G14 I14:J14 D24:D25 G8 I27:I32 J32 E13:J13 C5 H29:H31 H34 E34 H21:H22 C20 F24 F19 C25 F21:F22 H24:J24 I17:J17 H16:H17 H3 I8 E35:H35 J35" xr:uid="{C8E4804A-CEC5-4FA1-842F-B7935D30740D}"/>
    <dataValidation type="list" allowBlank="1" showInputMessage="1" showErrorMessage="1" sqref="E18 E23" xr:uid="{EA757630-E9BE-45F7-8BBA-1C37F0531BCB}">
      <formula1>"Yes, No, n/a"</formula1>
    </dataValidation>
    <dataValidation type="list" allowBlank="1" showInputMessage="1" sqref="M2" xr:uid="{A55E7C42-6A1F-4D30-B3DF-C4D7965BCC00}">
      <formula1>$N$2:$N$8</formula1>
    </dataValidation>
    <dataValidation type="list" allowBlank="1" showInputMessage="1" sqref="M3" xr:uid="{49E87891-5EC6-4B59-9A59-AFA57D8CA78D}">
      <formula1>"Client Check-in / Follow Up, Client Requested Delayed Start, LTI 1.1 Deactivation Inquiry, LTI 1.1 Deactivation Date Confirmed, Other: "</formula1>
    </dataValidation>
    <dataValidation type="list" allowBlank="1" showInputMessage="1" sqref="C24" xr:uid="{58C0068A-745A-4466-847F-3D5CAA4967A2}">
      <formula1>"20.00"</formula1>
    </dataValidation>
    <dataValidation type="list" allowBlank="1" showInputMessage="1" showErrorMessage="1" sqref="A4:B4" xr:uid="{38AD721E-B4BD-4AD1-B00A-4B81FE6F6913}">
      <formula1>"QUIP Data Source Link, Client Loop Link"</formula1>
    </dataValidation>
  </dataValidations>
  <hyperlinks>
    <hyperlink ref="H26:J26" r:id="rId1" display="Link to CST" xr:uid="{CFE04759-65C9-4B76-BE01-F5C9CF884650}"/>
    <hyperlink ref="A26" r:id="rId2" display="PAT Configuration (Link)" xr:uid="{C18DEB70-0739-44A1-B00F-110DFB692950}"/>
    <hyperlink ref="A5:B5" r:id="rId3" display="https://www.linkedin.com/in/jo-ann-balsamo" xr:uid="{94837008-5DB4-44CE-A3D3-D49DE98B81E4}"/>
    <hyperlink ref="A2060" r:id="rId4" display="https://www.time-zones-map.com/" xr:uid="{F79542F9-8D31-4AF7-8AC2-5C16D5CFBC8D}"/>
    <hyperlink ref="B2060" r:id="rId5" xr:uid="{C0919909-CF92-4D75-AAC0-77ED4B1A9B03}"/>
    <hyperlink ref="H33:J33" location="Go_Back_to_Build_Specs" display="Go_Back_to_Build_Specs" xr:uid="{5249E1E8-FB56-4814-826F-061922903F29}"/>
    <hyperlink ref="C2027" location="'Program Config'!C13" display="'Program Config'!C13" xr:uid="{40C674FC-C4DF-456F-BFF6-7BB619CA3F6E}"/>
    <hyperlink ref="E34" r:id="rId6" display="Unique Domain (If Needed)" xr:uid="{1CF5957D-92BC-4A47-B6E5-6564D91AEEDD}"/>
    <hyperlink ref="H34" r:id="rId7" display="Unique Domain (If Needed)" xr:uid="{CE8BCDD8-C563-47DD-A247-FA2FAD5D688C}"/>
    <hyperlink ref="A13:B13" location="'Program Config'!A2065" display="Time Zone" xr:uid="{49A72617-7607-4FD8-83E0-F9CF60E221F7}"/>
    <hyperlink ref="G5" r:id="rId8" display="https://www.linkedin.com/in/jo-ann-balsamo" xr:uid="{84049792-2D35-45C7-AF89-E93B3B3E9FC1}"/>
    <hyperlink ref="G6" r:id="rId9" display="https://www.linkedin.com/in/jo-ann-balsamo" xr:uid="{0BEEE6B5-ECB0-4A17-9A06-CDC15FBB8BB1}"/>
    <hyperlink ref="A9:B9" r:id="rId10" display="Institution Name (Finance Name):" xr:uid="{0ED3606B-7DE5-4978-B553-D156A07D928B}"/>
  </hyperlinks>
  <printOptions horizontalCentered="1"/>
  <pageMargins left="0.5" right="0.5" top="0.5" bottom="0.5" header="0.3" footer="0.3"/>
  <pageSetup scale="55" fitToWidth="2" orientation="portrait" r:id="rId11"/>
  <headerFooter>
    <oddFooter>&amp;R&amp;"-,Bold"&amp;9&amp;F&amp;"-,Regular"&amp;11
&amp;"-,Italic"&amp;9&amp;D</oddFooter>
  </headerFooter>
  <drawing r:id="rId12"/>
  <legacyDrawing r:id="rId13"/>
  <extLst>
    <ext xmlns:x14="http://schemas.microsoft.com/office/spreadsheetml/2009/9/main" uri="{78C0D931-6437-407d-A8EE-F0AAD7539E65}">
      <x14:conditionalFormattings>
        <x14:conditionalFormatting xmlns:xm="http://schemas.microsoft.com/office/excel/2006/main">
          <x14:cfRule type="expression" priority="1543" id="{AB6D9CAC-81A4-40E2-AE69-4C35BAADA0B6}">
            <xm:f>$C$14='Drop Down Lists'!$B$15</xm:f>
            <x14:dxf>
              <font>
                <color theme="4" tint="-0.24994659260841701"/>
              </font>
              <fill>
                <patternFill>
                  <bgColor theme="4" tint="-0.24994659260841701"/>
                </patternFill>
              </fill>
            </x14:dxf>
          </x14:cfRule>
          <x14:cfRule type="expression" priority="1541" id="{CC664BD0-4A8E-4AAD-A81D-3710D3FF497C}">
            <xm:f>$C$14='Drop Down Lists'!$B$16</xm:f>
            <x14:dxf>
              <font>
                <color theme="4" tint="-0.24994659260841701"/>
              </font>
              <fill>
                <patternFill>
                  <bgColor theme="4" tint="-0.24994659260841701"/>
                </patternFill>
              </fill>
            </x14:dxf>
          </x14:cfRule>
          <x14:cfRule type="expression" priority="1540" id="{A730084E-6288-42E5-992E-5DEBDAC2473E}">
            <xm:f>$C$14='Drop Down Lists'!$B$20</xm:f>
            <x14:dxf>
              <font>
                <color theme="4" tint="-0.24994659260841701"/>
              </font>
              <fill>
                <patternFill>
                  <bgColor theme="4" tint="-0.24994659260841701"/>
                </patternFill>
              </fill>
            </x14:dxf>
          </x14:cfRule>
          <x14:cfRule type="expression" priority="1537" id="{88E8B1A0-EB90-424B-863E-C57C751A06AB}">
            <xm:f>$C$14='Drop Down Lists'!$B$21</xm:f>
            <x14:dxf>
              <font>
                <color theme="4" tint="-0.24994659260841701"/>
              </font>
              <fill>
                <patternFill>
                  <bgColor theme="4" tint="-0.24994659260841701"/>
                </patternFill>
              </fill>
            </x14:dxf>
          </x14:cfRule>
          <xm:sqref>A34:B41 A42 A43:B47 A31</xm:sqref>
        </x14:conditionalFormatting>
        <x14:conditionalFormatting xmlns:xm="http://schemas.microsoft.com/office/excel/2006/main">
          <x14:cfRule type="expression" priority="1525" id="{DA3FA99A-8DDA-4F13-A54C-E21830A9B05D}">
            <xm:f>$C$14='Drop Down Lists'!$B$14</xm:f>
            <x14:dxf>
              <font>
                <color theme="4" tint="-0.499984740745262"/>
              </font>
              <fill>
                <patternFill>
                  <bgColor theme="4" tint="-0.499984740745262"/>
                </patternFill>
              </fill>
            </x14:dxf>
          </x14:cfRule>
          <xm:sqref>A36:B36</xm:sqref>
        </x14:conditionalFormatting>
        <x14:conditionalFormatting xmlns:xm="http://schemas.microsoft.com/office/excel/2006/main">
          <x14:cfRule type="expression" priority="1463" id="{EF2597DA-54C9-4998-B010-650612C2FC99}">
            <xm:f>$C$14='Drop Down Lists'!$B$14</xm:f>
            <x14:dxf>
              <font>
                <color theme="4" tint="-0.24994659260841701"/>
              </font>
              <fill>
                <patternFill>
                  <bgColor theme="4" tint="-0.24994659260841701"/>
                </patternFill>
              </fill>
            </x14:dxf>
          </x14:cfRule>
          <xm:sqref>A37:B41 A42 A43:B47</xm:sqref>
        </x14:conditionalFormatting>
        <x14:conditionalFormatting xmlns:xm="http://schemas.microsoft.com/office/excel/2006/main">
          <x14:cfRule type="expression" priority="1530" id="{38856203-58DD-41AA-9715-C859D0553469}">
            <xm:f>$C$14='Drop Down Lists'!$B$8</xm:f>
            <x14:dxf>
              <font>
                <color theme="4" tint="-0.24994659260841701"/>
              </font>
              <fill>
                <patternFill>
                  <bgColor theme="4" tint="-0.24994659260841701"/>
                </patternFill>
              </fill>
            </x14:dxf>
          </x14:cfRule>
          <x14:cfRule type="expression" priority="1531" id="{B849A902-23AD-4426-ABEA-916F6D0C2B1A}">
            <xm:f>$C$14='Drop Down Lists'!$B$6</xm:f>
            <x14:dxf>
              <font>
                <color theme="4" tint="-0.24994659260841701"/>
              </font>
              <fill>
                <patternFill>
                  <bgColor theme="4" tint="-0.24994659260841701"/>
                </patternFill>
              </fill>
            </x14:dxf>
          </x14:cfRule>
          <x14:cfRule type="expression" priority="1533" id="{922F2EAB-231F-4D7F-A020-9E6AB714CBBD}">
            <xm:f>$C$14='Drop Down Lists'!$B$4</xm:f>
            <x14:dxf>
              <font>
                <color theme="4" tint="-0.24994659260841701"/>
              </font>
              <fill>
                <patternFill>
                  <bgColor theme="4" tint="-0.24994659260841701"/>
                </patternFill>
              </fill>
            </x14:dxf>
          </x14:cfRule>
          <x14:cfRule type="expression" priority="1529" id="{62BA7AC0-499D-45C4-86B6-8637C421DE54}">
            <xm:f>$C$14='Drop Down Lists'!$B$9</xm:f>
            <x14:dxf>
              <font>
                <color theme="4" tint="-0.24994659260841701"/>
              </font>
              <fill>
                <patternFill>
                  <bgColor theme="4" tint="-0.24994659260841701"/>
                </patternFill>
              </fill>
            </x14:dxf>
          </x14:cfRule>
          <x14:cfRule type="expression" priority="1528" id="{10F50B97-2602-4ED7-9E1F-81B175CBFFC2}">
            <xm:f>$C$14='Drop Down Lists'!$B$10</xm:f>
            <x14:dxf>
              <font>
                <color theme="4" tint="-0.24994659260841701"/>
              </font>
              <fill>
                <patternFill>
                  <bgColor theme="4" tint="-0.24994659260841701"/>
                </patternFill>
              </fill>
            </x14:dxf>
          </x14:cfRule>
          <x14:cfRule type="expression" priority="1523" id="{CF90646D-F859-4604-B2BC-EB304552254A}">
            <xm:f>$C$14='Drop Down Lists'!$B$18</xm:f>
            <x14:dxf>
              <font>
                <color theme="4" tint="-0.24994659260841701"/>
              </font>
              <fill>
                <patternFill>
                  <bgColor theme="4" tint="-0.24994659260841701"/>
                </patternFill>
              </fill>
            </x14:dxf>
          </x14:cfRule>
          <x14:cfRule type="expression" priority="1501" id="{718C39CA-CED7-4481-BC72-CE398544A7BB}">
            <xm:f>$C$14='Drop Down Lists'!$B$13</xm:f>
            <x14:dxf>
              <font>
                <color theme="4" tint="-0.24994659260841701"/>
              </font>
              <fill>
                <patternFill>
                  <bgColor theme="4" tint="-0.24994659260841701"/>
                </patternFill>
              </fill>
            </x14:dxf>
          </x14:cfRule>
          <xm:sqref>A39:B41 A46:B47</xm:sqref>
        </x14:conditionalFormatting>
        <x14:conditionalFormatting xmlns:xm="http://schemas.microsoft.com/office/excel/2006/main">
          <x14:cfRule type="expression" priority="570" id="{2F1FD9DF-329C-4946-8C50-63A4AA077434}">
            <xm:f>$C$14='Drop Down Lists'!$B$16</xm:f>
            <x14:dxf>
              <font>
                <color theme="4" tint="-0.24994659260841701"/>
              </font>
              <fill>
                <patternFill>
                  <bgColor theme="4" tint="-0.24994659260841701"/>
                </patternFill>
              </fill>
            </x14:dxf>
          </x14:cfRule>
          <x14:cfRule type="expression" priority="567" id="{9C78A5EE-84D7-47EE-90CB-AA8B070F54D9}">
            <xm:f>$C$14='Drop Down Lists'!$B$14</xm:f>
            <x14:dxf>
              <font>
                <color theme="4" tint="-0.24994659260841701"/>
              </font>
              <fill>
                <patternFill>
                  <bgColor theme="4" tint="-0.24994659260841701"/>
                </patternFill>
              </fill>
            </x14:dxf>
          </x14:cfRule>
          <x14:cfRule type="expression" priority="568" id="{BE2BA672-8B4C-40BC-ACE5-D5838E680408}">
            <xm:f>$C$14='Drop Down Lists'!$B$21</xm:f>
            <x14:dxf>
              <font>
                <color theme="4" tint="-0.24994659260841701"/>
              </font>
              <fill>
                <patternFill>
                  <bgColor theme="4" tint="-0.24994659260841701"/>
                </patternFill>
              </fill>
            </x14:dxf>
          </x14:cfRule>
          <x14:cfRule type="expression" priority="569" id="{1489314E-E839-4967-ACD8-C800B59810CA}">
            <xm:f>$C$14='Drop Down Lists'!$B$20</xm:f>
            <x14:dxf>
              <font>
                <color theme="4" tint="-0.24994659260841701"/>
              </font>
              <fill>
                <patternFill>
                  <bgColor theme="4" tint="-0.24994659260841701"/>
                </patternFill>
              </fill>
            </x14:dxf>
          </x14:cfRule>
          <x14:cfRule type="expression" priority="571" id="{E1A523A6-5319-4717-B76F-360B31A938F1}">
            <xm:f>$C$14='Drop Down Lists'!$B$15</xm:f>
            <x14:dxf>
              <font>
                <color theme="4" tint="-0.24994659260841701"/>
              </font>
              <fill>
                <patternFill>
                  <bgColor theme="4" tint="-0.24994659260841701"/>
                </patternFill>
              </fill>
            </x14:dxf>
          </x14:cfRule>
          <xm:sqref>A49:B53</xm:sqref>
        </x14:conditionalFormatting>
        <x14:conditionalFormatting xmlns:xm="http://schemas.microsoft.com/office/excel/2006/main">
          <x14:cfRule type="expression" priority="1556" id="{5C7AB2A4-4DF5-449E-9C09-689EFBB5A9A3}">
            <xm:f>$C$14='Drop Down Lists'!$B$10</xm:f>
            <x14:dxf>
              <font>
                <color theme="2"/>
              </font>
              <fill>
                <patternFill>
                  <bgColor theme="2"/>
                </patternFill>
              </fill>
              <border>
                <left style="thin">
                  <color theme="0" tint="-0.34998626667073579"/>
                </left>
                <right style="thin">
                  <color theme="0" tint="-0.34998626667073579"/>
                </right>
                <top style="thin">
                  <color auto="1"/>
                </top>
                <bottom style="thin">
                  <color auto="1"/>
                </bottom>
              </border>
            </x14:dxf>
          </x14:cfRule>
          <xm:sqref>A39:J41</xm:sqref>
        </x14:conditionalFormatting>
        <x14:conditionalFormatting xmlns:xm="http://schemas.microsoft.com/office/excel/2006/main">
          <x14:cfRule type="expression" priority="1572" id="{C85EC5C1-9E68-496C-85A2-F9118AA26D79}">
            <xm:f>$C$14='Drop Down Lists'!$B$12</xm:f>
            <x14:dxf>
              <font>
                <color theme="0"/>
              </font>
              <fill>
                <patternFill patternType="none">
                  <bgColor auto="1"/>
                </patternFill>
              </fill>
              <border>
                <right/>
              </border>
            </x14:dxf>
          </x14:cfRule>
          <x14:cfRule type="expression" priority="1561" id="{00000000-000E-0000-0100-000001000000}">
            <xm:f>$C$14='Drop Down Lists'!$B$19</xm:f>
            <x14:dxf>
              <font>
                <color theme="0"/>
              </font>
              <fill>
                <patternFill>
                  <bgColor theme="0"/>
                </patternFill>
              </fill>
              <border>
                <left style="thin">
                  <color auto="1"/>
                </left>
                <right style="thin">
                  <color auto="1"/>
                </right>
                <top style="thin">
                  <color auto="1"/>
                </top>
                <bottom style="thin">
                  <color auto="1"/>
                </bottom>
              </border>
            </x14:dxf>
          </x14:cfRule>
          <x14:cfRule type="expression" priority="1569" id="{B913BDF3-58AF-4906-BF2E-4F9F1EEE916D}">
            <xm:f>$C$14='Drop Down Lists'!$B$11</xm:f>
            <x14:dxf>
              <font>
                <color theme="0"/>
              </font>
              <fill>
                <patternFill patternType="none">
                  <bgColor auto="1"/>
                </patternFill>
              </fill>
              <border>
                <right/>
              </border>
            </x14:dxf>
          </x14:cfRule>
          <xm:sqref>C37 C39:C40</xm:sqref>
        </x14:conditionalFormatting>
        <x14:conditionalFormatting xmlns:xm="http://schemas.microsoft.com/office/excel/2006/main">
          <x14:cfRule type="expression" priority="1535" id="{65F605C3-38B7-4241-919C-73C8B1334132}">
            <xm:f>$C$14='Drop Down Lists'!$B$6</xm:f>
            <x14:dxf>
              <font>
                <color theme="0"/>
              </font>
              <fill>
                <patternFill patternType="none">
                  <bgColor auto="1"/>
                </patternFill>
              </fill>
              <border>
                <left style="thin">
                  <color auto="1"/>
                </left>
                <right/>
                <top style="thin">
                  <color auto="1"/>
                </top>
                <bottom style="thin">
                  <color auto="1"/>
                </bottom>
              </border>
            </x14:dxf>
          </x14:cfRule>
          <x14:cfRule type="expression" priority="1538" id="{4B428CD7-D48E-4647-AB87-6F9DAA223AEA}">
            <xm:f>$C$14='Drop Down Lists'!$B$4</xm:f>
            <x14:dxf>
              <font>
                <color theme="0"/>
              </font>
              <fill>
                <patternFill patternType="none">
                  <bgColor auto="1"/>
                </patternFill>
              </fill>
              <border>
                <left style="thin">
                  <color auto="1"/>
                </left>
                <right/>
                <top style="thin">
                  <color auto="1"/>
                </top>
                <bottom style="thin">
                  <color auto="1"/>
                </bottom>
              </border>
            </x14:dxf>
          </x14:cfRule>
          <x14:cfRule type="expression" priority="1549" id="{CCC0A9BF-86C7-41EA-844C-644EC7E9AA50}">
            <xm:f>$C$14='Drop Down Lists'!$B$13</xm:f>
            <x14:dxf>
              <font>
                <color theme="0"/>
              </font>
              <fill>
                <patternFill patternType="none">
                  <bgColor auto="1"/>
                </patternFill>
              </fill>
              <border>
                <left style="thin">
                  <color auto="1"/>
                </left>
                <right/>
                <top style="thin">
                  <color auto="1"/>
                </top>
                <bottom style="thin">
                  <color auto="1"/>
                </bottom>
              </border>
            </x14:dxf>
          </x14:cfRule>
          <x14:cfRule type="expression" priority="1550" id="{E6FCFFDD-3D91-42F5-AF54-A4A02D0B9D66}">
            <xm:f>$C$14='Drop Down Lists'!$B$8</xm:f>
            <x14:dxf>
              <font>
                <color theme="0"/>
              </font>
              <fill>
                <patternFill patternType="none">
                  <bgColor auto="1"/>
                </patternFill>
              </fill>
              <border>
                <left style="thin">
                  <color auto="1"/>
                </left>
                <right/>
                <top style="thin">
                  <color auto="1"/>
                </top>
                <bottom style="thin">
                  <color auto="1"/>
                </bottom>
              </border>
            </x14:dxf>
          </x14:cfRule>
          <x14:cfRule type="expression" priority="1552" id="{0AFCDC29-1374-4E71-94D0-4C8CFBB11183}">
            <xm:f>$C$14='Drop Down Lists'!$B$9</xm:f>
            <x14:dxf>
              <font>
                <color theme="0"/>
              </font>
              <fill>
                <patternFill patternType="none">
                  <bgColor auto="1"/>
                </patternFill>
              </fill>
              <border>
                <left style="thin">
                  <color auto="1"/>
                </left>
                <right/>
                <top style="thin">
                  <color auto="1"/>
                </top>
                <bottom style="thin">
                  <color auto="1"/>
                </bottom>
              </border>
            </x14:dxf>
          </x14:cfRule>
          <x14:cfRule type="expression" priority="1532" id="{2F1DA4CF-DD7A-49F5-98F1-EA917C4AE979}">
            <xm:f>$C$14='Drop Down Lists'!$B$18</xm:f>
            <x14:dxf>
              <font>
                <color theme="0"/>
              </font>
              <fill>
                <patternFill patternType="none">
                  <bgColor auto="1"/>
                </patternFill>
              </fill>
              <border>
                <left style="thin">
                  <color auto="1"/>
                </left>
                <right/>
                <top style="thin">
                  <color auto="1"/>
                </top>
                <bottom style="thin">
                  <color auto="1"/>
                </bottom>
              </border>
            </x14:dxf>
          </x14:cfRule>
          <x14:cfRule type="expression" priority="1553" id="{314871E7-EBB8-47AE-A670-6F8B62D2EFE7}">
            <xm:f>$C$14='Drop Down Lists'!$B$10</xm:f>
            <x14:dxf>
              <font>
                <color theme="0"/>
              </font>
              <fill>
                <patternFill patternType="none">
                  <bgColor auto="1"/>
                </patternFill>
              </fill>
              <border>
                <left style="thin">
                  <color auto="1"/>
                </left>
                <right/>
                <top style="thin">
                  <color auto="1"/>
                </top>
                <bottom style="thin">
                  <color auto="1"/>
                </bottom>
              </border>
            </x14:dxf>
          </x14:cfRule>
          <xm:sqref>C37:F38</xm:sqref>
        </x14:conditionalFormatting>
        <x14:conditionalFormatting xmlns:xm="http://schemas.microsoft.com/office/excel/2006/main">
          <x14:cfRule type="expression" priority="1244" id="{E831F6B3-C5FB-41E5-A34B-27E5E269004C}">
            <xm:f>$C$14='Drop Down Lists'!$B$5</xm:f>
            <x14:dxf>
              <font>
                <color theme="0"/>
              </font>
              <fill>
                <patternFill patternType="none">
                  <bgColor auto="1"/>
                </patternFill>
              </fill>
            </x14:dxf>
          </x14:cfRule>
          <xm:sqref>C37:F40</xm:sqref>
        </x14:conditionalFormatting>
        <x14:conditionalFormatting xmlns:xm="http://schemas.microsoft.com/office/excel/2006/main">
          <x14:cfRule type="expression" priority="1038" id="{C12F16A9-6E87-401C-8924-E5E375DD5B49}">
            <xm:f>$C$14='Drop Down Lists'!$B$19</xm:f>
            <x14:dxf>
              <font>
                <color theme="0"/>
              </font>
              <fill>
                <patternFill patternType="none">
                  <bgColor auto="1"/>
                </patternFill>
              </fill>
            </x14:dxf>
          </x14:cfRule>
          <x14:cfRule type="expression" priority="1544" id="{DBE56EE7-28A1-4AA4-B58B-6CABF4C691D7}">
            <xm:f>$C$14='Drop Down Lists'!$B$7</xm:f>
            <x14:dxf>
              <font>
                <color theme="0"/>
              </font>
              <fill>
                <patternFill patternType="none">
                  <bgColor auto="1"/>
                </patternFill>
              </fill>
            </x14:dxf>
          </x14:cfRule>
          <x14:cfRule type="expression" priority="899" id="{3301F55E-2E7E-4190-BFAE-C8229B83B783}">
            <xm:f>$C$14='Drop Down Lists'!$B$17</xm:f>
            <x14:dxf>
              <font>
                <color theme="0"/>
              </font>
              <fill>
                <patternFill patternType="none">
                  <bgColor auto="1"/>
                </patternFill>
              </fill>
            </x14:dxf>
          </x14:cfRule>
          <xm:sqref>C37:F41</xm:sqref>
        </x14:conditionalFormatting>
        <x14:conditionalFormatting xmlns:xm="http://schemas.microsoft.com/office/excel/2006/main">
          <x14:cfRule type="expression" priority="1576" id="{B643A09B-35DA-4CE2-A3C4-BE9A01BF7293}">
            <xm:f>$C$14='Drop Down Lists'!$B$7</xm:f>
            <x14:dxf>
              <font>
                <color theme="0"/>
              </font>
              <fill>
                <patternFill patternType="none">
                  <bgColor auto="1"/>
                </patternFill>
              </fill>
            </x14:dxf>
          </x14:cfRule>
          <xm:sqref>C39:F40</xm:sqref>
        </x14:conditionalFormatting>
        <x14:conditionalFormatting xmlns:xm="http://schemas.microsoft.com/office/excel/2006/main">
          <x14:cfRule type="expression" priority="1578" id="{FF7E93AE-6C5D-4571-AA68-55F59D760459}">
            <xm:f>'Drop Down Lists'!$B$21</xm:f>
            <x14:dxf>
              <font>
                <color theme="2"/>
              </font>
              <fill>
                <patternFill>
                  <bgColor theme="2"/>
                </patternFill>
              </fill>
              <border>
                <left style="thin">
                  <color auto="1"/>
                </left>
                <right style="thin">
                  <color auto="1"/>
                </right>
                <top style="thin">
                  <color auto="1"/>
                </top>
                <bottom style="thin">
                  <color auto="1"/>
                </bottom>
              </border>
            </x14:dxf>
          </x14:cfRule>
          <xm:sqref>C39:F41</xm:sqref>
        </x14:conditionalFormatting>
        <x14:conditionalFormatting xmlns:xm="http://schemas.microsoft.com/office/excel/2006/main">
          <x14:cfRule type="expression" priority="1524" id="{F4AA3942-2D23-4ECF-B105-1B98E55BCB7D}">
            <xm:f>$C$14='Drop Down Lists'!$B$14</xm:f>
            <x14:dxf>
              <font>
                <b/>
                <i val="0"/>
                <color theme="0"/>
              </font>
              <fill>
                <patternFill>
                  <bgColor theme="4" tint="-0.499984740745262"/>
                </patternFill>
              </fill>
            </x14:dxf>
          </x14:cfRule>
          <xm:sqref>C36:J36</xm:sqref>
        </x14:conditionalFormatting>
        <x14:conditionalFormatting xmlns:xm="http://schemas.microsoft.com/office/excel/2006/main">
          <x14:cfRule type="expression" priority="1521" id="{A5E0F5DC-AD6A-4B73-BEB0-448520F89BBF}">
            <xm:f>$C$14='Drop Down Lists'!$B$21</xm:f>
            <x14:dxf>
              <font>
                <color theme="0"/>
              </font>
              <fill>
                <patternFill patternType="solid">
                  <bgColor theme="0"/>
                </patternFill>
              </fill>
            </x14:dxf>
          </x14:cfRule>
          <xm:sqref>C36:J43 G35:H35 C44:C45 C46:J47</xm:sqref>
        </x14:conditionalFormatting>
        <x14:conditionalFormatting xmlns:xm="http://schemas.microsoft.com/office/excel/2006/main">
          <x14:cfRule type="expression" priority="1551" id="{73576F70-5CD0-4684-8444-06154AB68870}">
            <xm:f>$C$14='Drop Down Lists'!$B$22</xm:f>
            <x14:dxf>
              <font>
                <color theme="0"/>
              </font>
              <fill>
                <patternFill patternType="none">
                  <bgColor auto="1"/>
                </patternFill>
              </fill>
            </x14:dxf>
          </x14:cfRule>
          <xm:sqref>C37:J41 C43:J43 C44:C45 C46:J47</xm:sqref>
        </x14:conditionalFormatting>
        <x14:conditionalFormatting xmlns:xm="http://schemas.microsoft.com/office/excel/2006/main">
          <x14:cfRule type="expression" priority="679" id="{820FDD1A-94AC-48FA-B9E1-D6DDFFF35DC9}">
            <xm:f>$C$14='Drop Down Lists'!$B$14</xm:f>
            <x14:dxf>
              <font>
                <color theme="0" tint="-0.14996795556505021"/>
              </font>
              <fill>
                <patternFill>
                  <bgColor theme="0" tint="-0.14996795556505021"/>
                </patternFill>
              </fill>
            </x14:dxf>
          </x14:cfRule>
          <xm:sqref>C37:J43 C44:F45 C46:J47</xm:sqref>
        </x14:conditionalFormatting>
        <x14:conditionalFormatting xmlns:xm="http://schemas.microsoft.com/office/excel/2006/main">
          <x14:cfRule type="expression" priority="562" id="{318A8A3F-867C-4FC3-A44F-17DCA1989B90}">
            <xm:f>$C$14='Drop Down Lists'!$B$13</xm:f>
            <x14:dxf>
              <font>
                <color theme="0" tint="-0.14996795556505021"/>
              </font>
              <fill>
                <patternFill>
                  <bgColor theme="0" tint="-0.14996795556505021"/>
                </patternFill>
              </fill>
            </x14:dxf>
          </x14:cfRule>
          <x14:cfRule type="expression" priority="563" id="{8B8C30AB-595E-4B76-8BB6-5B147E434075}">
            <xm:f>$C$14='Drop Down Lists'!$B$10</xm:f>
            <x14:dxf>
              <font>
                <color theme="0" tint="-0.14996795556505021"/>
              </font>
              <fill>
                <patternFill>
                  <bgColor theme="0" tint="-0.14996795556505021"/>
                </patternFill>
              </fill>
            </x14:dxf>
          </x14:cfRule>
          <x14:cfRule type="expression" priority="564" id="{8F6A711D-8EC0-4732-A29B-C7B1444BE5B7}">
            <xm:f>$C$14='Drop Down Lists'!$B$9</xm:f>
            <x14:dxf>
              <font>
                <color theme="0" tint="-0.14996795556505021"/>
              </font>
              <fill>
                <patternFill>
                  <bgColor theme="0" tint="-0.14996795556505021"/>
                </patternFill>
              </fill>
            </x14:dxf>
          </x14:cfRule>
          <x14:cfRule type="expression" priority="565" id="{EA899EE5-31BA-44D7-BE07-75745B0CC3F4}">
            <xm:f>$C$14='Drop Down Lists'!$B$8</xm:f>
            <x14:dxf>
              <font>
                <color theme="0" tint="-0.14996795556505021"/>
              </font>
              <fill>
                <patternFill>
                  <bgColor theme="0" tint="-0.14996795556505021"/>
                </patternFill>
              </fill>
            </x14:dxf>
          </x14:cfRule>
          <x14:cfRule type="expression" priority="566" id="{1183FFE7-F48E-4468-82F0-D6E4C36E32B8}">
            <xm:f>$C$14='Drop Down Lists'!$B$6</xm:f>
            <x14:dxf>
              <font>
                <color theme="0" tint="-0.14996795556505021"/>
              </font>
              <fill>
                <patternFill>
                  <bgColor theme="0" tint="-0.14996795556505021"/>
                </patternFill>
              </fill>
            </x14:dxf>
          </x14:cfRule>
          <x14:cfRule type="expression" priority="1557" id="{998D5EF3-58A6-437E-8F73-70AB5689081F}">
            <xm:f>$C$14='Drop Down Lists'!$B$4</xm:f>
            <x14:dxf>
              <font>
                <color theme="2"/>
              </font>
              <fill>
                <patternFill>
                  <bgColor theme="2"/>
                </patternFill>
              </fill>
              <border>
                <left style="thin">
                  <color auto="1"/>
                </left>
                <right style="thin">
                  <color auto="1"/>
                </right>
                <top style="thin">
                  <color auto="1"/>
                </top>
                <bottom style="thin">
                  <color auto="1"/>
                </bottom>
              </border>
            </x14:dxf>
          </x14:cfRule>
          <x14:cfRule type="expression" priority="572" id="{F36192F7-5DA7-435A-A449-04DE896A7775}">
            <xm:f>$C$14='Drop Down Lists'!$B$4</xm:f>
            <x14:dxf>
              <font>
                <color theme="0" tint="-0.14996795556505021"/>
              </font>
              <fill>
                <patternFill>
                  <bgColor theme="0" tint="-0.14996795556505021"/>
                </patternFill>
              </fill>
            </x14:dxf>
          </x14:cfRule>
          <x14:cfRule type="expression" priority="1257" id="{D7D564B5-5C51-4F93-A77F-E08BE7288655}">
            <xm:f>$C$14='Drop Down Lists'!$B$18</xm:f>
            <x14:dxf>
              <font>
                <color theme="0" tint="-0.14996795556505021"/>
              </font>
              <fill>
                <patternFill>
                  <bgColor theme="0" tint="-0.14996795556505021"/>
                </patternFill>
              </fill>
            </x14:dxf>
          </x14:cfRule>
          <xm:sqref>C39:J41 C46:J47</xm:sqref>
        </x14:conditionalFormatting>
        <x14:conditionalFormatting xmlns:xm="http://schemas.microsoft.com/office/excel/2006/main">
          <x14:cfRule type="expression" priority="1274" id="{1ADDB4E4-77D7-4D2B-81B7-02DF0F12BFB1}">
            <xm:f>$C$14='Drop Down Lists'!$B$13</xm:f>
            <x14:dxf>
              <font>
                <color theme="2"/>
              </font>
              <fill>
                <patternFill>
                  <bgColor theme="2"/>
                </patternFill>
              </fill>
              <border>
                <left style="thin">
                  <color theme="0" tint="-0.34998626667073579"/>
                </left>
                <right style="thin">
                  <color theme="0" tint="-0.34998626667073579"/>
                </right>
                <top style="thin">
                  <color auto="1"/>
                </top>
                <bottom style="thin">
                  <color auto="1"/>
                </bottom>
              </border>
            </x14:dxf>
          </x14:cfRule>
          <x14:cfRule type="expression" priority="1377" id="{3769885C-D31A-4083-B023-173B26106B46}">
            <xm:f>$C$14='Drop Down Lists'!$B$8</xm:f>
            <x14:dxf>
              <font>
                <color theme="2"/>
              </font>
              <fill>
                <patternFill>
                  <bgColor theme="2"/>
                </patternFill>
              </fill>
              <border>
                <left style="thin">
                  <color theme="0" tint="-0.34998626667073579"/>
                </left>
                <right style="thin">
                  <color theme="0" tint="-0.34998626667073579"/>
                </right>
                <top style="thin">
                  <color auto="1"/>
                </top>
                <bottom style="thin">
                  <color auto="1"/>
                </bottom>
              </border>
            </x14:dxf>
          </x14:cfRule>
          <x14:cfRule type="expression" priority="1388" id="{5140D667-99F2-4C69-BEE0-8123E13596FD}">
            <xm:f>$C$14='Drop Down Lists'!$B$6</xm:f>
            <x14:dxf>
              <font>
                <color theme="2"/>
              </font>
              <fill>
                <patternFill>
                  <bgColor theme="2"/>
                </patternFill>
              </fill>
              <border>
                <left style="thin">
                  <color theme="0" tint="-0.34998626667073579"/>
                </left>
                <right style="thin">
                  <color theme="0" tint="-0.34998626667073579"/>
                </right>
                <top style="thin">
                  <color auto="1"/>
                </top>
                <bottom style="thin">
                  <color auto="1"/>
                </bottom>
              </border>
            </x14:dxf>
          </x14:cfRule>
          <x14:cfRule type="expression" priority="1401" id="{CD796426-115D-4AD2-BB73-5111AB450415}">
            <xm:f>$C$14='Drop Down Lists'!$B$9</xm:f>
            <x14:dxf>
              <font>
                <color theme="2"/>
              </font>
              <fill>
                <patternFill>
                  <bgColor theme="2"/>
                </patternFill>
              </fill>
              <border>
                <left style="thin">
                  <color theme="0" tint="-0.34998626667073579"/>
                </left>
                <right style="thin">
                  <color theme="0" tint="-0.34998626667073579"/>
                </right>
                <top style="thin">
                  <color auto="1"/>
                </top>
                <bottom style="thin">
                  <color auto="1"/>
                </bottom>
              </border>
            </x14:dxf>
          </x14:cfRule>
          <xm:sqref>C39:J41</xm:sqref>
        </x14:conditionalFormatting>
        <x14:conditionalFormatting xmlns:xm="http://schemas.microsoft.com/office/excel/2006/main">
          <x14:cfRule type="expression" priority="945" id="{52C014BA-4CEB-43E8-ABB5-55BF4025CFD2}">
            <xm:f>$C$14='Drop Down Lists'!$B$21</xm:f>
            <x14:dxf>
              <font>
                <color theme="0"/>
              </font>
              <fill>
                <patternFill patternType="solid">
                  <bgColor theme="0"/>
                </patternFill>
              </fill>
            </x14:dxf>
          </x14:cfRule>
          <x14:cfRule type="expression" priority="955" id="{08D53DF5-D553-4FB9-9658-5FB2604C76A0}">
            <xm:f>$C$14='Drop Down Lists'!$B$20</xm:f>
            <x14:dxf>
              <font>
                <color theme="0"/>
              </font>
              <fill>
                <patternFill>
                  <bgColor theme="0"/>
                </patternFill>
              </fill>
            </x14:dxf>
          </x14:cfRule>
          <x14:cfRule type="expression" priority="956" id="{06C9D440-A383-40D7-86DA-A4DCA53944F3}">
            <xm:f>$C$14='Drop Down Lists'!$B$15</xm:f>
            <x14:dxf>
              <font>
                <color theme="0"/>
              </font>
              <fill>
                <patternFill patternType="solid">
                  <bgColor theme="0"/>
                </patternFill>
              </fill>
            </x14:dxf>
          </x14:cfRule>
          <x14:cfRule type="expression" priority="981" id="{9CCB1D3A-68D2-4FC7-8257-43B68A13FEAA}">
            <xm:f>$C$14='Drop Down Lists'!$B$15</xm:f>
            <x14:dxf>
              <font>
                <color theme="0"/>
              </font>
              <fill>
                <patternFill patternType="solid">
                  <bgColor theme="0"/>
                </patternFill>
              </fill>
            </x14:dxf>
          </x14:cfRule>
          <x14:cfRule type="expression" priority="980" id="{CB21AA11-F9D9-4F2C-AD96-D14E92719DCC}">
            <xm:f>$C$14='Drop Down Lists'!$B$20</xm:f>
            <x14:dxf>
              <font>
                <color theme="0"/>
              </font>
              <fill>
                <patternFill>
                  <bgColor theme="0"/>
                </patternFill>
              </fill>
            </x14:dxf>
          </x14:cfRule>
          <x14:cfRule type="expression" priority="970" id="{F8E7B309-31D0-40EE-B5A9-D2BF6F1E1EBB}">
            <xm:f>$C$14='Drop Down Lists'!$B$21</xm:f>
            <x14:dxf>
              <font>
                <color theme="0"/>
              </font>
              <fill>
                <patternFill patternType="solid">
                  <bgColor theme="0"/>
                </patternFill>
              </fill>
            </x14:dxf>
          </x14:cfRule>
          <x14:cfRule type="expression" priority="965" id="{F225F252-672F-4006-9517-222359832D10}">
            <xm:f>$C$14='Drop Down Lists'!$B$16</xm:f>
            <x14:dxf>
              <font>
                <color theme="0"/>
              </font>
              <fill>
                <patternFill>
                  <bgColor theme="0"/>
                </patternFill>
              </fill>
            </x14:dxf>
          </x14:cfRule>
          <x14:cfRule type="expression" priority="940" id="{04285B57-83C6-449D-AB8C-FB50CDB1E4B7}">
            <xm:f>$C$14='Drop Down Lists'!$B$16</xm:f>
            <x14:dxf>
              <font>
                <color theme="0"/>
              </font>
              <fill>
                <patternFill>
                  <bgColor theme="0"/>
                </patternFill>
              </fill>
            </x14:dxf>
          </x14:cfRule>
          <xm:sqref>F34:F35</xm:sqref>
        </x14:conditionalFormatting>
        <x14:conditionalFormatting xmlns:xm="http://schemas.microsoft.com/office/excel/2006/main">
          <x14:cfRule type="expression" priority="1621" id="{00000000-000E-0000-0100-00002B000000}">
            <xm:f>'Drop Down Lists'!$M$5</xm:f>
            <x14:dxf>
              <font>
                <b val="0"/>
                <i val="0"/>
                <color theme="0" tint="-0.24994659260841701"/>
              </font>
              <fill>
                <patternFill>
                  <bgColor theme="8" tint="0.79998168889431442"/>
                </patternFill>
              </fill>
            </x14:dxf>
          </x14:cfRule>
          <xm:sqref>G41</xm:sqref>
        </x14:conditionalFormatting>
        <x14:conditionalFormatting xmlns:xm="http://schemas.microsoft.com/office/excel/2006/main">
          <x14:cfRule type="expression" priority="1566" id="{4DD4E666-C358-4A9B-A7F8-8B5A13C33D88}">
            <xm:f>$C$14='Drop Down Lists'!$B$20</xm:f>
            <x14:dxf>
              <font>
                <color theme="0"/>
              </font>
              <fill>
                <patternFill>
                  <bgColor theme="0"/>
                </patternFill>
              </fill>
            </x14:dxf>
          </x14:cfRule>
          <x14:cfRule type="expression" priority="1148" id="{42E1FADB-386D-430D-8E1C-4D776794DFC9}">
            <xm:f>$C$14='Drop Down Lists'!$B$16</xm:f>
            <x14:dxf>
              <font>
                <color theme="0"/>
              </font>
              <fill>
                <patternFill>
                  <bgColor theme="0"/>
                </patternFill>
              </fill>
            </x14:dxf>
          </x14:cfRule>
          <xm:sqref>G35:H35 C36:J43 C44:C45 C46:J47 H31:I31</xm:sqref>
        </x14:conditionalFormatting>
        <x14:conditionalFormatting xmlns:xm="http://schemas.microsoft.com/office/excel/2006/main">
          <x14:cfRule type="expression" priority="1568" id="{808D3F61-9345-47E6-9E16-F4825862CAFB}">
            <xm:f>$C$14='Drop Down Lists'!$B$15</xm:f>
            <x14:dxf>
              <font>
                <color theme="0"/>
              </font>
              <fill>
                <patternFill patternType="solid">
                  <bgColor theme="0"/>
                </patternFill>
              </fill>
            </x14:dxf>
          </x14:cfRule>
          <xm:sqref>G35:H35 C36:J43 C44:C45 C46:J47</xm:sqref>
        </x14:conditionalFormatting>
        <x14:conditionalFormatting xmlns:xm="http://schemas.microsoft.com/office/excel/2006/main">
          <x14:cfRule type="expression" priority="2002" id="{0D1DCA50-89C2-4F20-BDEE-2B1C28ACAE6A}">
            <xm:f>$L$2='Drop Down Lists'!$AV$22</xm:f>
            <x14:dxf>
              <font>
                <b/>
                <i val="0"/>
                <strike val="0"/>
                <u val="none"/>
                <color theme="0"/>
              </font>
              <fill>
                <patternFill>
                  <bgColor theme="4" tint="-0.499984740745262"/>
                </patternFill>
              </fill>
              <border>
                <left style="thin">
                  <color auto="1"/>
                </left>
                <right style="thin">
                  <color auto="1"/>
                </right>
                <top style="thin">
                  <color auto="1"/>
                </top>
                <bottom style="thin">
                  <color auto="1"/>
                </bottom>
              </border>
            </x14:dxf>
          </x14:cfRule>
          <x14:cfRule type="expression" priority="2000" id="{C0DB208A-AFF4-4532-ADAF-26ACCAD4BCE0}">
            <xm:f>$L$2='Drop Down Lists'!$AV$23</xm:f>
            <x14:dxf>
              <font>
                <b/>
                <i val="0"/>
                <strike val="0"/>
                <u val="none"/>
                <color theme="0"/>
              </font>
              <fill>
                <patternFill>
                  <bgColor theme="4" tint="-0.499984740745262"/>
                </patternFill>
              </fill>
              <border>
                <left style="thin">
                  <color auto="1"/>
                </left>
                <right style="thin">
                  <color auto="1"/>
                </right>
                <top style="thin">
                  <color auto="1"/>
                </top>
                <bottom style="thin">
                  <color auto="1"/>
                </bottom>
              </border>
            </x14:dxf>
          </x14:cfRule>
          <x14:cfRule type="expression" priority="2003" id="{78E5819F-E62C-4CDD-A91A-4839BBF44A7C}">
            <xm:f>$L$2='Drop Down Lists'!$AV$21</xm:f>
            <x14:dxf>
              <font>
                <b/>
                <i val="0"/>
                <strike val="0"/>
                <u val="none"/>
                <color theme="0"/>
              </font>
              <fill>
                <patternFill>
                  <bgColor theme="4" tint="-0.499984740745262"/>
                </patternFill>
              </fill>
              <border>
                <left style="thin">
                  <color auto="1"/>
                </left>
                <right style="thin">
                  <color auto="1"/>
                </right>
                <top style="thin">
                  <color auto="1"/>
                </top>
                <bottom style="thin">
                  <color auto="1"/>
                </bottom>
              </border>
            </x14:dxf>
          </x14:cfRule>
          <x14:cfRule type="expression" priority="2001" id="{476F0F56-B23D-4ABE-AFE3-5B05BA7F4173}">
            <xm:f>$L$2='Drop Down Lists'!$AV$24</xm:f>
            <x14:dxf>
              <font>
                <b/>
                <i val="0"/>
                <strike val="0"/>
                <u val="none"/>
                <color theme="0"/>
              </font>
              <fill>
                <patternFill>
                  <bgColor theme="4" tint="-0.499984740745262"/>
                </patternFill>
              </fill>
              <border>
                <left style="thin">
                  <color auto="1"/>
                </left>
                <right style="thin">
                  <color auto="1"/>
                </right>
                <top style="thin">
                  <color auto="1"/>
                </top>
                <bottom style="thin">
                  <color auto="1"/>
                </bottom>
              </border>
            </x14:dxf>
          </x14:cfRule>
          <x14:cfRule type="expression" priority="2004" id="{53889F4F-7902-4A3E-B2A4-80AE5D7B7CD2}">
            <xm:f>$L$2='Drop Down Lists'!$AV$20</xm:f>
            <x14:dxf>
              <font>
                <b/>
                <i val="0"/>
                <strike val="0"/>
                <u val="none"/>
                <color theme="0"/>
              </font>
              <fill>
                <patternFill>
                  <bgColor theme="4" tint="-0.499984740745262"/>
                </patternFill>
              </fill>
              <border>
                <left style="thin">
                  <color auto="1"/>
                </left>
                <right style="thin">
                  <color auto="1"/>
                </right>
                <top style="thin">
                  <color auto="1"/>
                </top>
                <bottom style="thin">
                  <color auto="1"/>
                </bottom>
              </border>
            </x14:dxf>
          </x14:cfRule>
          <xm:sqref>L2</xm:sqref>
        </x14:conditionalFormatting>
        <x14:conditionalFormatting xmlns:xm="http://schemas.microsoft.com/office/excel/2006/main">
          <x14:cfRule type="expression" priority="2008" id="{FCE8BDD1-2933-4281-9812-5713EF03C5DF}">
            <xm:f>$L$2='Drop Down Lists'!$AV$23</xm:f>
            <x14:dxf>
              <font>
                <b/>
                <i val="0"/>
                <color theme="0"/>
              </font>
              <fill>
                <patternFill patternType="solid">
                  <bgColor theme="4" tint="-0.24994659260841701"/>
                </patternFill>
              </fill>
              <border>
                <left style="thin">
                  <color auto="1"/>
                </left>
                <right style="thin">
                  <color auto="1"/>
                </right>
                <top style="thin">
                  <color auto="1"/>
                </top>
                <bottom style="thin">
                  <color auto="1"/>
                </bottom>
              </border>
            </x14:dxf>
          </x14:cfRule>
          <x14:cfRule type="expression" priority="2005" id="{3D92B2A9-8A00-45D0-8158-0E62ACA1938C}">
            <xm:f>$L$2='Drop Down Lists'!$AV$24</xm:f>
            <x14:dxf>
              <font>
                <b/>
                <i val="0"/>
                <color theme="0"/>
              </font>
              <fill>
                <patternFill patternType="solid">
                  <bgColor theme="4" tint="-0.24994659260841701"/>
                </patternFill>
              </fill>
              <border>
                <left style="thin">
                  <color auto="1"/>
                </left>
                <right style="thin">
                  <color auto="1"/>
                </right>
                <top style="thin">
                  <color auto="1"/>
                </top>
                <bottom style="thin">
                  <color auto="1"/>
                </bottom>
              </border>
            </x14:dxf>
          </x14:cfRule>
          <x14:cfRule type="expression" priority="2006" id="{360E5682-A059-4500-91A7-BF1C035132DF}">
            <xm:f>$L$2='Drop Down Lists'!$AV$22</xm:f>
            <x14:dxf>
              <font>
                <b/>
                <i val="0"/>
                <color theme="0"/>
              </font>
              <fill>
                <patternFill patternType="solid">
                  <bgColor theme="4" tint="-0.24994659260841701"/>
                </patternFill>
              </fill>
              <border>
                <left style="thin">
                  <color auto="1"/>
                </left>
                <right style="thin">
                  <color auto="1"/>
                </right>
                <top style="thin">
                  <color auto="1"/>
                </top>
                <bottom style="thin">
                  <color auto="1"/>
                </bottom>
              </border>
            </x14:dxf>
          </x14:cfRule>
          <x14:cfRule type="expression" priority="2007" id="{4D5010BE-C039-4CED-808F-5D46FC2E108E}">
            <xm:f>$L$2='Drop Down Lists'!$AV$21</xm:f>
            <x14:dxf>
              <font>
                <b/>
                <i val="0"/>
                <color theme="0"/>
              </font>
              <fill>
                <patternFill patternType="solid">
                  <bgColor theme="4" tint="-0.24994659260841701"/>
                </patternFill>
              </fill>
              <border>
                <left style="thin">
                  <color auto="1"/>
                </left>
                <right style="thin">
                  <color auto="1"/>
                </right>
                <top style="thin">
                  <color auto="1"/>
                </top>
                <bottom style="thin">
                  <color auto="1"/>
                </bottom>
              </border>
            </x14:dxf>
          </x14:cfRule>
          <x14:cfRule type="expression" priority="2009" id="{7B302B59-70E8-4FA7-9C85-C50F74B7528A}">
            <xm:f>$L$2='Drop Down Lists'!$AV$20</xm:f>
            <x14:dxf>
              <font>
                <b/>
                <i val="0"/>
                <color theme="0"/>
              </font>
              <fill>
                <patternFill patternType="solid">
                  <bgColor theme="4" tint="-0.24994659260841701"/>
                </patternFill>
              </fill>
              <border>
                <left style="thin">
                  <color auto="1"/>
                </left>
                <right style="thin">
                  <color auto="1"/>
                </right>
                <top style="thin">
                  <color auto="1"/>
                </top>
                <bottom style="thin">
                  <color auto="1"/>
                </bottom>
              </border>
            </x14:dxf>
          </x14:cfRule>
          <xm:sqref>L4</xm:sqref>
        </x14:conditionalFormatting>
        <x14:conditionalFormatting xmlns:xm="http://schemas.microsoft.com/office/excel/2006/main">
          <x14:cfRule type="expression" priority="2011" id="{7D4C679C-3836-4A0F-B599-4B8961436D7E}">
            <xm:f>$L$2='Drop Down Lists'!$AV$24</xm:f>
            <x14:dxf>
              <font>
                <b/>
                <i val="0"/>
                <color rgb="FF0563C1"/>
              </font>
              <border>
                <left style="thin">
                  <color auto="1"/>
                </left>
                <right style="thin">
                  <color auto="1"/>
                </right>
                <top style="thin">
                  <color auto="1"/>
                </top>
                <bottom style="thin">
                  <color auto="1"/>
                </bottom>
              </border>
            </x14:dxf>
          </x14:cfRule>
          <x14:cfRule type="expression" priority="2012" id="{384A7C85-207E-41BD-A9DD-0DB369A56472}">
            <xm:f>$L$2='Drop Down Lists'!$AV$22</xm:f>
            <x14:dxf>
              <font>
                <b/>
                <i val="0"/>
                <color rgb="FF0563C1"/>
              </font>
              <border>
                <left style="thin">
                  <color auto="1"/>
                </left>
                <right style="thin">
                  <color auto="1"/>
                </right>
                <top style="thin">
                  <color auto="1"/>
                </top>
                <bottom style="thin">
                  <color auto="1"/>
                </bottom>
              </border>
            </x14:dxf>
          </x14:cfRule>
          <x14:cfRule type="expression" priority="2010" id="{4E750FE6-5A69-4772-A2A3-069879CD49ED}">
            <xm:f>$L$2='Drop Down Lists'!$AV$23</xm:f>
            <x14:dxf>
              <font>
                <b/>
                <i val="0"/>
                <color rgb="FF0563C1"/>
              </font>
              <border>
                <left style="thin">
                  <color auto="1"/>
                </left>
                <right style="thin">
                  <color auto="1"/>
                </right>
                <top style="thin">
                  <color auto="1"/>
                </top>
                <bottom style="thin">
                  <color auto="1"/>
                </bottom>
              </border>
            </x14:dxf>
          </x14:cfRule>
          <x14:cfRule type="expression" priority="2013" id="{7A4C6858-9737-4B1F-840A-FAEC193102F8}">
            <xm:f>$L$2='Drop Down Lists'!$AV$21</xm:f>
            <x14:dxf>
              <font>
                <b/>
                <i val="0"/>
                <color rgb="FF0563C1"/>
              </font>
              <border>
                <left style="thin">
                  <color auto="1"/>
                </left>
                <right style="thin">
                  <color auto="1"/>
                </right>
                <top style="thin">
                  <color auto="1"/>
                </top>
                <bottom style="thin">
                  <color auto="1"/>
                </bottom>
              </border>
            </x14:dxf>
          </x14:cfRule>
          <x14:cfRule type="expression" priority="2014" id="{0C6100CC-18DB-4BE9-BF75-62C1A910F245}">
            <xm:f>$L$2='Drop Down Lists'!$AV$20</xm:f>
            <x14:dxf>
              <font>
                <b/>
                <i val="0"/>
                <color rgb="FF0563C1"/>
              </font>
              <border>
                <left style="thin">
                  <color auto="1"/>
                </left>
                <right style="thin">
                  <color auto="1"/>
                </right>
                <top style="thin">
                  <color auto="1"/>
                </top>
                <bottom style="thin">
                  <color auto="1"/>
                </bottom>
              </border>
            </x14:dxf>
          </x14:cfRule>
          <xm:sqref>L5:M14</xm:sqref>
        </x14:conditionalFormatting>
        <x14:conditionalFormatting xmlns:xm="http://schemas.microsoft.com/office/excel/2006/main">
          <x14:cfRule type="expression" priority="2016" id="{19207EDE-47A2-497D-90D3-7ED804313D00}">
            <xm:f>$L$2='Drop Down Lists'!$AV$22</xm:f>
            <x14:dxf>
              <font>
                <color rgb="FF0070C0"/>
              </font>
            </x14:dxf>
          </x14:cfRule>
          <x14:cfRule type="expression" priority="2017" id="{535140A5-DEEF-458A-B7AA-E9CAD3F70311}">
            <xm:f>$L$2='Drop Down Lists'!$AV$21</xm:f>
            <x14:dxf>
              <font>
                <color rgb="FF0070C0"/>
              </font>
            </x14:dxf>
          </x14:cfRule>
          <x14:cfRule type="expression" priority="2018" id="{CBDEED88-E141-4468-ABE1-E6FB0586665B}">
            <xm:f>$L$2='Drop Down Lists'!$AV$24</xm:f>
            <x14:dxf>
              <font>
                <color rgb="FF0070C0"/>
              </font>
            </x14:dxf>
          </x14:cfRule>
          <x14:cfRule type="expression" priority="2019" id="{03EC77EB-470F-4B82-AF9E-B9A85A762D8C}">
            <xm:f>$L$2='Drop Down Lists'!$AV$20</xm:f>
            <x14:dxf>
              <font>
                <color rgb="FF0070C0"/>
              </font>
            </x14:dxf>
          </x14:cfRule>
          <x14:cfRule type="expression" priority="2015" id="{8997B689-2285-4364-9F32-CF97B92624FA}">
            <xm:f>$L$2='Drop Down Lists'!$AV$23</xm:f>
            <x14:dxf>
              <font>
                <color rgb="FF0070C0"/>
              </font>
            </x14:dxf>
          </x14:cfRule>
          <xm:sqref>L15:M15</xm:sqref>
        </x14:conditionalFormatting>
        <x14:conditionalFormatting xmlns:xm="http://schemas.microsoft.com/office/excel/2006/main">
          <x14:cfRule type="expression" priority="1962" id="{C7F65ABF-F7D5-4196-9C81-47978F6F5AC1}">
            <xm:f>$L$16='Drop Down Lists'!$AV$24</xm:f>
            <x14:dxf>
              <font>
                <b/>
                <i val="0"/>
                <strike val="0"/>
                <u val="none"/>
                <color theme="0"/>
              </font>
              <fill>
                <patternFill>
                  <bgColor theme="4" tint="-0.499984740745262"/>
                </patternFill>
              </fill>
              <border>
                <left style="thin">
                  <color auto="1"/>
                </left>
                <right style="thin">
                  <color auto="1"/>
                </right>
                <top style="thin">
                  <color auto="1"/>
                </top>
                <bottom style="thin">
                  <color auto="1"/>
                </bottom>
              </border>
            </x14:dxf>
          </x14:cfRule>
          <xm:sqref>L16:M16</xm:sqref>
        </x14:conditionalFormatting>
        <x14:conditionalFormatting xmlns:xm="http://schemas.microsoft.com/office/excel/2006/main">
          <x14:cfRule type="expression" priority="1963" id="{00000000-000E-0000-0200-00001E000000}">
            <xm:f>$L$16='Drop Down Lists'!$AV$24</xm:f>
            <x14:dxf>
              <font>
                <b/>
                <i val="0"/>
                <color rgb="FF0563C1"/>
              </font>
              <border>
                <left style="thin">
                  <color auto="1"/>
                </left>
                <right style="thin">
                  <color auto="1"/>
                </right>
                <top style="thin">
                  <color auto="1"/>
                </top>
                <bottom style="thin">
                  <color auto="1"/>
                </bottom>
              </border>
            </x14:dxf>
          </x14:cfRule>
          <xm:sqref>L17:M20 L22:M23</xm:sqref>
        </x14:conditionalFormatting>
        <x14:conditionalFormatting xmlns:xm="http://schemas.microsoft.com/office/excel/2006/main">
          <x14:cfRule type="expression" priority="580" id="{F36B3204-3656-4AF5-9FE4-6D61D319BF57}">
            <xm:f>$L$16='Drop Down Lists'!$AV$24</xm:f>
            <x14:dxf>
              <font>
                <b/>
                <i val="0"/>
                <strike val="0"/>
                <u val="none"/>
                <color theme="0"/>
              </font>
              <fill>
                <patternFill>
                  <bgColor theme="4" tint="-0.499984740745262"/>
                </patternFill>
              </fill>
              <border>
                <left style="thin">
                  <color auto="1"/>
                </left>
                <right style="thin">
                  <color auto="1"/>
                </right>
                <top style="thin">
                  <color auto="1"/>
                </top>
                <bottom style="thin">
                  <color auto="1"/>
                </bottom>
              </border>
            </x14:dxf>
          </x14:cfRule>
          <xm:sqref>L21:M21</xm:sqref>
        </x14:conditionalFormatting>
        <x14:conditionalFormatting xmlns:xm="http://schemas.microsoft.com/office/excel/2006/main">
          <x14:cfRule type="expression" priority="2023" id="{26821489-E2F6-4D9B-B1DF-66A9C022AB0C}">
            <xm:f>$L$2='Drop Down Lists'!$AV$21</xm:f>
            <x14:dxf>
              <font>
                <color rgb="FF0070C0"/>
              </font>
            </x14:dxf>
          </x14:cfRule>
          <x14:cfRule type="expression" priority="2020" id="{67F2A2D0-CFC4-4FBB-8B2D-B897E0A5A7B7}">
            <xm:f>$L$2='Drop Down Lists'!$AV$23</xm:f>
            <x14:dxf>
              <font>
                <color rgb="FF0070C0"/>
              </font>
            </x14:dxf>
          </x14:cfRule>
          <x14:cfRule type="expression" priority="2021" id="{1672303E-DDCE-4387-8355-95912D2EFC96}">
            <xm:f>$L$2='Drop Down Lists'!$AV$24</xm:f>
            <x14:dxf>
              <font>
                <color rgb="FF0070C0"/>
              </font>
            </x14:dxf>
          </x14:cfRule>
          <x14:cfRule type="expression" priority="2022" id="{2392D91D-DD0C-4938-B145-B2B9338CBF7B}">
            <xm:f>$L$2='Drop Down Lists'!$AV$22</xm:f>
            <x14:dxf>
              <font>
                <color rgb="FF0070C0"/>
              </font>
            </x14:dxf>
          </x14:cfRule>
          <x14:cfRule type="expression" priority="2024" id="{00000000-000E-0000-0200-000005000000}">
            <xm:f>$L$2='Drop Down Lists'!$AV$20</xm:f>
            <x14:dxf>
              <font>
                <color rgb="FF0070C0"/>
              </font>
            </x14:dxf>
          </x14:cfRule>
          <xm:sqref>M1</xm:sqref>
        </x14:conditionalFormatting>
        <x14:conditionalFormatting xmlns:xm="http://schemas.microsoft.com/office/excel/2006/main">
          <x14:cfRule type="expression" priority="2029" id="{42AE0DD5-2DAB-4505-A62C-AE630BB37B94}">
            <xm:f>$L$2='Drop Down Lists'!$AV$24</xm:f>
            <x14:dxf>
              <font>
                <b/>
                <i val="0"/>
                <strike val="0"/>
                <u val="none"/>
                <color theme="4" tint="-0.499984740745262"/>
              </font>
              <fill>
                <patternFill>
                  <bgColor theme="4" tint="0.59996337778862885"/>
                </patternFill>
              </fill>
              <border>
                <left style="thin">
                  <color auto="1"/>
                </left>
                <right style="thin">
                  <color auto="1"/>
                </right>
                <top style="thin">
                  <color auto="1"/>
                </top>
                <bottom style="thin">
                  <color auto="1"/>
                </bottom>
              </border>
            </x14:dxf>
          </x14:cfRule>
          <x14:cfRule type="expression" priority="2028" id="{E055CBD6-EF1E-4579-9B75-E32589356F90}">
            <xm:f>$L$2='Drop Down Lists'!$AV$20</xm:f>
            <x14:dxf>
              <font>
                <b/>
                <i val="0"/>
                <strike val="0"/>
                <u val="none"/>
                <color theme="4" tint="-0.499984740745262"/>
              </font>
              <fill>
                <patternFill>
                  <bgColor theme="4" tint="0.59996337778862885"/>
                </patternFill>
              </fill>
              <border>
                <left style="thin">
                  <color auto="1"/>
                </left>
                <right style="thin">
                  <color auto="1"/>
                </right>
                <top style="thin">
                  <color auto="1"/>
                </top>
                <bottom style="thin">
                  <color auto="1"/>
                </bottom>
              </border>
            </x14:dxf>
          </x14:cfRule>
          <x14:cfRule type="expression" priority="2027" id="{D6FF16C9-23AC-41E8-8586-1335C17092D8}">
            <xm:f>$L$2='Drop Down Lists'!$AV$21</xm:f>
            <x14:dxf>
              <font>
                <b/>
                <i val="0"/>
                <strike val="0"/>
                <u val="none"/>
                <color theme="4" tint="-0.499984740745262"/>
              </font>
              <fill>
                <patternFill>
                  <bgColor theme="4" tint="0.59996337778862885"/>
                </patternFill>
              </fill>
              <border>
                <left style="thin">
                  <color auto="1"/>
                </left>
                <right style="thin">
                  <color auto="1"/>
                </right>
                <top style="thin">
                  <color auto="1"/>
                </top>
                <bottom style="thin">
                  <color auto="1"/>
                </bottom>
              </border>
            </x14:dxf>
          </x14:cfRule>
          <x14:cfRule type="expression" priority="2026" id="{0811B6C4-7539-4BAA-A225-4BB6DAEA4780}">
            <xm:f>$L$2='Drop Down Lists'!$AV$22</xm:f>
            <x14:dxf>
              <font>
                <b/>
                <i val="0"/>
                <strike val="0"/>
                <u val="none"/>
                <color theme="4" tint="-0.499984740745262"/>
              </font>
              <fill>
                <patternFill>
                  <bgColor theme="4" tint="0.59996337778862885"/>
                </patternFill>
              </fill>
              <border>
                <left style="thin">
                  <color auto="1"/>
                </left>
                <right style="thin">
                  <color auto="1"/>
                </right>
                <top style="thin">
                  <color auto="1"/>
                </top>
                <bottom style="thin">
                  <color auto="1"/>
                </bottom>
              </border>
            </x14:dxf>
          </x14:cfRule>
          <x14:cfRule type="expression" priority="2025" id="{D4BEFFFF-1747-415D-9AC7-1DB125E50A8A}">
            <xm:f>$L$2='Drop Down Lists'!$AV$23</xm:f>
            <x14:dxf>
              <font>
                <b/>
                <i val="0"/>
                <strike val="0"/>
                <u val="none"/>
                <color theme="4" tint="-0.499984740745262"/>
              </font>
              <fill>
                <patternFill>
                  <bgColor theme="4" tint="0.59996337778862885"/>
                </patternFill>
              </fill>
              <border>
                <left style="thin">
                  <color auto="1"/>
                </left>
                <right style="thin">
                  <color auto="1"/>
                </right>
                <top style="thin">
                  <color auto="1"/>
                </top>
                <bottom style="thin">
                  <color auto="1"/>
                </bottom>
              </border>
            </x14:dxf>
          </x14:cfRule>
          <xm:sqref>M2:M3</xm:sqref>
        </x14:conditionalFormatting>
        <x14:conditionalFormatting xmlns:xm="http://schemas.microsoft.com/office/excel/2006/main">
          <x14:cfRule type="expression" priority="2036" id="{0E3C4053-F991-4CBF-947B-4F4DA223FD1E}">
            <xm:f>$L$2='Drop Down Lists'!$AV$20</xm:f>
            <x14:dxf>
              <fill>
                <patternFill>
                  <bgColor rgb="FFFFEFFF"/>
                </patternFill>
              </fill>
              <border>
                <left style="thin">
                  <color auto="1"/>
                </left>
                <right style="thin">
                  <color auto="1"/>
                </right>
                <top style="thin">
                  <color auto="1"/>
                </top>
                <bottom style="thin">
                  <color auto="1"/>
                </bottom>
              </border>
            </x14:dxf>
          </x14:cfRule>
          <x14:cfRule type="expression" priority="2035" id="{AAC1C2A0-804A-400C-9070-94217ED792C8}">
            <xm:f>$L$2='Drop Down Lists'!$AV$24</xm:f>
            <x14:dxf>
              <fill>
                <patternFill>
                  <bgColor rgb="FFFFEFFF"/>
                </patternFill>
              </fill>
              <border>
                <left style="thin">
                  <color auto="1"/>
                </left>
                <right style="thin">
                  <color auto="1"/>
                </right>
                <top style="thin">
                  <color auto="1"/>
                </top>
                <bottom style="thin">
                  <color auto="1"/>
                </bottom>
              </border>
            </x14:dxf>
          </x14:cfRule>
          <x14:cfRule type="expression" priority="2034" id="{75CB0B88-42BD-4C73-BB82-D9CABE36B8E6}">
            <xm:f>$L$2='Drop Down Lists'!$AV$21</xm:f>
            <x14:dxf>
              <fill>
                <patternFill>
                  <bgColor rgb="FFFFEFFF"/>
                </patternFill>
              </fill>
              <border>
                <left style="thin">
                  <color auto="1"/>
                </left>
                <right style="thin">
                  <color auto="1"/>
                </right>
                <top style="thin">
                  <color auto="1"/>
                </top>
                <bottom style="thin">
                  <color auto="1"/>
                </bottom>
              </border>
            </x14:dxf>
          </x14:cfRule>
          <x14:cfRule type="expression" priority="2033" id="{E4CEF7C7-47FE-4FCB-A462-922DA90E4FBC}">
            <xm:f>$L$2='Drop Down Lists'!$AV$22</xm:f>
            <x14:dxf>
              <fill>
                <patternFill>
                  <bgColor rgb="FFFFEFFF"/>
                </patternFill>
              </fill>
              <border>
                <left style="thin">
                  <color auto="1"/>
                </left>
                <right style="thin">
                  <color auto="1"/>
                </right>
                <top style="thin">
                  <color auto="1"/>
                </top>
                <bottom style="thin">
                  <color auto="1"/>
                </bottom>
              </border>
            </x14:dxf>
          </x14:cfRule>
          <x14:cfRule type="expression" priority="2032" id="{B4B6C777-5CD3-42D9-A221-77ECC560716C}">
            <xm:f>$L$2='Drop Down Lists'!$AV$23</xm:f>
            <x14:dxf>
              <fill>
                <patternFill>
                  <bgColor rgb="FFFFEFFF"/>
                </patternFill>
              </fill>
              <border>
                <left style="thin">
                  <color auto="1"/>
                </left>
                <right style="thin">
                  <color auto="1"/>
                </right>
                <top style="thin">
                  <color auto="1"/>
                </top>
                <bottom style="thin">
                  <color auto="1"/>
                </bottom>
              </border>
            </x14:dxf>
          </x14:cfRule>
          <xm:sqref>M4</xm:sqref>
        </x14:conditionalFormatting>
      </x14:conditionalFormattings>
    </ext>
    <ext xmlns:x14="http://schemas.microsoft.com/office/spreadsheetml/2009/9/main" uri="{CCE6A557-97BC-4b89-ADB6-D9C93CAAB3DF}">
      <x14:dataValidations xmlns:xm="http://schemas.microsoft.com/office/excel/2006/main" count="13">
        <x14:dataValidation type="list" allowBlank="1" showInputMessage="1" xr:uid="{53CB3CBC-1406-40EB-95B0-45CE195D1BAA}">
          <x14:formula1>
            <xm:f>'Drop Down Lists'!$AX$3:$AX$5</xm:f>
          </x14:formula1>
          <xm:sqref>H14</xm:sqref>
        </x14:dataValidation>
        <x14:dataValidation type="list" allowBlank="1" showInputMessage="1" xr:uid="{F1012A51-5F86-4EF9-ACD4-CC4F2454D29D}">
          <x14:formula1>
            <xm:f>'Drop Down Lists'!$AS$3:$AS$9</xm:f>
          </x14:formula1>
          <xm:sqref>C13</xm:sqref>
        </x14:dataValidation>
        <x14:dataValidation type="list" allowBlank="1" showInputMessage="1" showErrorMessage="1" xr:uid="{19F18015-33A6-4620-BBD6-1F905E8EDFBE}">
          <x14:formula1>
            <xm:f>'Drop Down Lists'!$AV$14:$AV$17</xm:f>
          </x14:formula1>
          <xm:sqref>H2</xm:sqref>
        </x14:dataValidation>
        <x14:dataValidation type="list" allowBlank="1" showInputMessage="1" xr:uid="{DFFEEBFF-2BCC-4CD9-A1F0-F8B5BBAFD8B9}">
          <x14:formula1>
            <xm:f>'Drop Down Lists'!$B$4:$B$27</xm:f>
          </x14:formula1>
          <xm:sqref>C14</xm:sqref>
        </x14:dataValidation>
        <x14:dataValidation type="list" allowBlank="1" showInputMessage="1" showErrorMessage="1" xr:uid="{9AA7F9A7-FB42-45E0-82C1-44EFF33E2258}">
          <x14:formula1>
            <xm:f>'Drop Down Lists'!$AP$3:$AP$55</xm:f>
          </x14:formula1>
          <xm:sqref>C11</xm:sqref>
        </x14:dataValidation>
        <x14:dataValidation type="list" allowBlank="1" showInputMessage="1" xr:uid="{F9456C30-C813-43A6-8C0F-C2BF1B0B37DF}">
          <x14:formula1>
            <xm:f>'Drop Down Lists'!$AT$3:$AT$10</xm:f>
          </x14:formula1>
          <xm:sqref>C22 C17</xm:sqref>
        </x14:dataValidation>
        <x14:dataValidation type="list" allowBlank="1" showInputMessage="1" xr:uid="{7AAD950C-F43F-4A00-BA5A-B8C9A5F1C0B2}">
          <x14:formula1>
            <xm:f>'Drop Down Lists'!$AS$12:$AS$14</xm:f>
          </x14:formula1>
          <xm:sqref>E24:E25 E19:E20</xm:sqref>
        </x14:dataValidation>
        <x14:dataValidation type="list" allowBlank="1" showInputMessage="1" xr:uid="{C8D9E20E-2A35-4003-A131-B820BD3CDCA6}">
          <x14:formula1>
            <xm:f>'Drop Down Lists'!$AS$16:$AS$17</xm:f>
          </x14:formula1>
          <xm:sqref>J1</xm:sqref>
        </x14:dataValidation>
        <x14:dataValidation type="list" allowBlank="1" showInputMessage="1" showErrorMessage="1" xr:uid="{556FB5DD-664A-452D-A69E-EB8BD13A75D6}">
          <x14:formula1>
            <xm:f>'Drop Down Lists'!$AW$5:$AW$7</xm:f>
          </x14:formula1>
          <xm:sqref>H9</xm:sqref>
        </x14:dataValidation>
        <x14:dataValidation type="list" allowBlank="1" showInputMessage="1" showErrorMessage="1" xr:uid="{10219AA9-4F96-4646-AFFF-1C4BA7081104}">
          <x14:formula1>
            <xm:f>'Drop Down Lists'!$AX$7:$AX$14</xm:f>
          </x14:formula1>
          <xm:sqref>H8</xm:sqref>
        </x14:dataValidation>
        <x14:dataValidation type="list" allowBlank="1" showInputMessage="1" xr:uid="{A44E6E7E-A065-4190-9A7B-BA1A9AC508FF}">
          <x14:formula1>
            <xm:f>'Drop Down Lists'!$AU$3:$AU$11</xm:f>
          </x14:formula1>
          <xm:sqref>G2 H1</xm:sqref>
        </x14:dataValidation>
        <x14:dataValidation type="list" allowBlank="1" showInputMessage="1" xr:uid="{732ADBD3-F54F-48F3-AB35-D8D0F3E47EDA}">
          <x14:formula1>
            <xm:f>'Drop Down Lists'!$AV$2</xm:f>
          </x14:formula1>
          <xm:sqref>C19</xm:sqref>
        </x14:dataValidation>
        <x14:dataValidation type="list" allowBlank="1" showInputMessage="1" xr:uid="{7308AF5C-D010-4993-83E2-E18D5E947A74}">
          <x14:formula1>
            <xm:f>'Drop Down Lists'!$AY$3:$AY$15</xm:f>
          </x14:formula1>
          <xm:sqref>J8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912FA-6989-4BBA-823D-C4B775A98CE6}">
  <dimension ref="A1:AE104"/>
  <sheetViews>
    <sheetView zoomScale="70" zoomScaleNormal="70" workbookViewId="0">
      <selection activeCell="F28" sqref="F1:AF1048576"/>
    </sheetView>
  </sheetViews>
  <sheetFormatPr defaultColWidth="9.15625" defaultRowHeight="20.100000000000001" customHeight="1" x14ac:dyDescent="0.55000000000000004"/>
  <cols>
    <col min="1" max="1" width="25.15625" style="15" customWidth="1"/>
    <col min="2" max="2" width="59.83984375" style="15" customWidth="1"/>
    <col min="3" max="3" width="33.68359375" style="15" customWidth="1"/>
    <col min="4" max="4" width="7.68359375" style="15" customWidth="1"/>
    <col min="5" max="5" width="44.68359375" style="218" customWidth="1"/>
    <col min="6" max="6" width="73.41796875" style="15" customWidth="1"/>
    <col min="7" max="7" width="7.83984375" style="216" hidden="1" customWidth="1"/>
    <col min="8" max="8" width="41.26171875" style="15" hidden="1" customWidth="1"/>
    <col min="9" max="9" width="82.68359375" style="15" hidden="1" customWidth="1"/>
    <col min="10" max="10" width="7.26171875" style="226" hidden="1" customWidth="1"/>
    <col min="11" max="11" width="7.41796875" style="226" hidden="1" customWidth="1"/>
    <col min="12" max="12" width="8.15625" style="226" hidden="1" customWidth="1"/>
    <col min="13" max="13" width="8" style="226" hidden="1" customWidth="1"/>
    <col min="14" max="14" width="7.15625" style="226" hidden="1" customWidth="1"/>
    <col min="15" max="15" width="8.15625" style="226" hidden="1" customWidth="1"/>
    <col min="16" max="16" width="28.68359375" style="22" hidden="1" customWidth="1"/>
    <col min="17" max="17" width="57.15625" style="22" hidden="1" customWidth="1"/>
    <col min="18" max="18" width="28.68359375" style="22" hidden="1" customWidth="1"/>
    <col min="19" max="19" width="57.15625" style="22" hidden="1" customWidth="1"/>
    <col min="20" max="20" width="28.68359375" style="22" hidden="1" customWidth="1"/>
    <col min="21" max="21" width="57.15625" style="22" hidden="1" customWidth="1"/>
    <col min="22" max="22" width="28.68359375" style="22" hidden="1" customWidth="1"/>
    <col min="23" max="23" width="57.15625" style="22" hidden="1" customWidth="1"/>
    <col min="24" max="24" width="28.68359375" style="22" hidden="1" customWidth="1"/>
    <col min="25" max="25" width="57.15625" style="22" hidden="1" customWidth="1"/>
    <col min="26" max="26" width="28.68359375" style="22" hidden="1" customWidth="1"/>
    <col min="27" max="27" width="57.15625" style="22" hidden="1" customWidth="1"/>
    <col min="28" max="28" width="9.15625" style="15" hidden="1" customWidth="1"/>
    <col min="29" max="29" width="33" style="15" hidden="1" customWidth="1"/>
    <col min="30" max="30" width="49.578125" style="15" hidden="1" customWidth="1"/>
    <col min="31" max="31" width="9.15625" style="15" hidden="1" customWidth="1"/>
    <col min="32" max="36" width="9.15625" style="15" customWidth="1"/>
    <col min="37" max="16384" width="9.15625" style="15"/>
  </cols>
  <sheetData>
    <row r="1" spans="1:30" s="223" customFormat="1" ht="20.100000000000001" customHeight="1" x14ac:dyDescent="0.55000000000000004">
      <c r="A1" s="223" t="str">
        <f>IF('Program Config'!$C$14&lt;&gt;"",IF(AND('Program Config'!$C$14&lt;&gt;"LMS3",'Program Config'!$C$14&lt;&gt;"LMS4",'Program Config'!$C$14&lt;&gt;"LMS11",'Program Config'!$C$14&lt;&gt;"LMS10"),"DemoData3 Build Notes",""),"")</f>
        <v>DemoData3 Build Notes</v>
      </c>
      <c r="C1" s="224" t="s">
        <v>78</v>
      </c>
      <c r="E1" s="220" t="str" cm="1">
        <f t="array" ref="E1">IF('Program Config'!$C$14&lt;&gt;"",IF(AND('Program Config'!$C$14&lt;&gt;"LMS3",'Program Config'!$C$14&lt;&gt;"LMS4",'Program Config'!$C$14&lt;&gt;"LMS11",'Program Config'!$C$14&lt;&gt;"LMS10"),_xlfn.IFS('Program Config'!$C$14="LMS1 - GENINTEGRATION 31 - All Types of Placement","GENINTEGRATION 22 Parameters",'Program Config'!$C$14="LMS1 - GENINTEGRATION 31 Link &amp; Course NAV","GENINTEGRATION 22 Parameters",'Program Config'!$C$14="LMS8 - GENINTEGRATION 31","GENINTEGRATION 22 Parameters",'Program Config'!$C$14="LMS5 - GENINTEGRATION 31","GENINTEGRATION 22 Parameters",'Program Config'!$C$14="LMS2 - GENINTEGRATION 31","GENINTEGRATION 22 Parameters",'Program Config'!$C$14="LM7 - GENINTEGRATION 31","GENINTEGRATION 22 Parameters",'Program Config'!$C$14="LMS6 - GENINTEGRATION 31","GENINTEGRATION 22 Parameters",TRUE,"GENINTEGRATION 22 Attributes"),""),"")</f>
        <v>GENINTEGRATION 22 Parameters</v>
      </c>
      <c r="F1" s="220" t="str" cm="1">
        <f t="array" ref="F1">_xlfn.IFS('Program Config'!$C$14="LMS1 - GENINTEGRATION 31 - All Types of Placement","LMS1 31 ClPRODUCT4 ms", 'Program Config'!$C$14="LMS1 - GENINTEGRATION 31 Link &amp; Course NAV","LMS1 31 ClPRODUCT4 ms", 'Program Config'!$C$14="LMS5 - GENINTEGRATION 31","LMS5 31 ClPRODUCT4 ms", 'Program Config'!$C$14="LMS8 - GENINTEGRATION 31","LMS8 31 ClPRODUCT4 ms",'Program Config'!$C$14="LMS2 - GENINTEGRATION 31","LMS2 31 ClPRODUCT4 ms",'Program Config'!$C$14="LM7 - GENINTEGRATION 31","LM7 31 ClPRODUCT4 ms",'Program Config'!$C$14="LMS6 - GENINTEGRATION 31","LMS6 31 ClPRODUCT4 ms",TRUE,"")</f>
        <v>LMS1 31 ClPRODUCT4 ms</v>
      </c>
      <c r="G1" s="221"/>
      <c r="H1" s="225" t="s">
        <v>868</v>
      </c>
      <c r="I1" s="225" t="s">
        <v>837</v>
      </c>
      <c r="J1" s="226" t="s">
        <v>635</v>
      </c>
      <c r="K1" s="226" t="s">
        <v>79</v>
      </c>
      <c r="L1" s="226" t="s">
        <v>640</v>
      </c>
      <c r="M1" s="226" t="s">
        <v>80</v>
      </c>
      <c r="N1" s="226" t="s">
        <v>81</v>
      </c>
      <c r="O1" s="226" t="s">
        <v>82</v>
      </c>
      <c r="P1" s="227" t="s">
        <v>636</v>
      </c>
      <c r="Q1" s="228" t="s">
        <v>838</v>
      </c>
      <c r="R1" s="227" t="s">
        <v>611</v>
      </c>
      <c r="S1" s="228" t="s">
        <v>839</v>
      </c>
      <c r="T1" s="227" t="s">
        <v>840</v>
      </c>
      <c r="U1" s="228" t="s">
        <v>841</v>
      </c>
      <c r="V1" s="227" t="s">
        <v>842</v>
      </c>
      <c r="W1" s="228" t="s">
        <v>843</v>
      </c>
      <c r="X1" s="227" t="s">
        <v>844</v>
      </c>
      <c r="Y1" s="228" t="s">
        <v>845</v>
      </c>
      <c r="Z1" s="227" t="s">
        <v>846</v>
      </c>
      <c r="AA1" s="243" t="s">
        <v>847</v>
      </c>
      <c r="AC1" s="805" t="s">
        <v>869</v>
      </c>
      <c r="AD1" s="805"/>
    </row>
    <row r="2" spans="1:30" ht="20.100000000000001" customHeight="1" x14ac:dyDescent="0.55000000000000004">
      <c r="A2" s="15" t="str">
        <f>IF('Program Config'!$C$14&lt;&gt;"",IF(AND('Program Config'!$C$14&lt;&gt;"LMS3",'Program Config'!$C$14&lt;&gt;"LMS4",'Program Config'!$C$14&lt;&gt;"LMS11",'Program Config'!$C$14&lt;&gt;"LMS10"),"DemoData3 Property Name",""),"")</f>
        <v>DemoData3 Property Name</v>
      </c>
      <c r="B2" s="802" t="str">
        <f>IF('Program Config'!$C$14&lt;&gt;"",(IF(AND('Program Config'!$C$14&lt;&gt;"LMS3",'Program Config'!$C$14&lt;&gt;"LMS4",'Program Config'!$C$14&lt;&gt;"LMS11",'Program Config'!$C$14&lt;&gt;"LMS10"),IF(AND('Program Config'!$F$10&lt;&gt;"",'Program Config'!$C$27&lt;&gt;""),_xlfn.CONCAT('Program Config'!$F$10)&amp;" | "&amp;('Program Config'!$C$27),"This component requires the Program Name &amp; the Program ID"),"This Build Configuration does not require an DemoData3")),"")</f>
        <v>DEMO | 2026</v>
      </c>
      <c r="C2" s="802"/>
      <c r="E2" s="217" t="str" cm="1">
        <f t="array" ref="E2">IFERROR(_xlfn.IFS($E$1="GENINTEGRATION 22 Parameters",(_xlfn.IFS($F$1=$Q$1,INDEX($P$2:$P$100,MATCH(0,INDEX(COUNTIF($E$1:$E1,$P$2:$P$100)+(COUNTIF($P$2:$P$100,$P$2:$P$100)&lt;&gt;1),0,0),0)),$F$1=$S$1,INDEX($R$2:$R$100,MATCH(0,INDEX(COUNTIF($E$1:$E1,$R$2:$R$100)+(COUNTIF($R$2:$R$100,$R$2:$R$100)&lt;&gt;1),0,0),0)),$F$1=$U$1,INDEX($T$2:$T$100,MATCH(0,INDEX(COUNTIF($E$1:$E1,$T$2:$T$100)+(COUNTIF($T$2:$T$100,$T$2:$T$100)&lt;&gt;1),0,0),0)),$F$1=$W$1,INDEX($V$2:$V$100,MATCH(0,INDEX(COUNTIF($E$1:$E1,$V$2:$V$100)+(COUNTIF($V$2:$V$100,$V$2:$V$100)&lt;&gt;1),0,0),0)),$F$1=$Y$1,INDEX($X$2:$X$100,MATCH(0,INDEX(COUNTIF($E$1:$E1,$X$2:$X$100)+(COUNTIF($X$2:$X$100,$X$2:$X$100)&lt;&gt;1),0,0),0)),$F$1=$AA$1,INDEX($Z$2:$Z$100,MATCH(0,INDEX(COUNTIF($E$1:$E1,$Z$2:$Z$100)+(COUNTIF($Z$2:$Z$100,$Z$2:$Z$100)&lt;&gt;1),0,0),0)),TRUE,"")),$E$1="GENINTEGRATION 22 Attributes",INDEX($H$2:$H$100,MATCH(0,INDEX(COUNTIF($E$1:$E1,$H$2:$H$100)+(COUNTIF($H$2:$H$100,$H$2:$H$100)&lt;&gt;1),0,0),0)),TRUE,""),"")</f>
        <v>context_id</v>
      </c>
      <c r="F2" s="213" t="str" cm="1">
        <f t="array" ref="F2">IFERROR(_xlfn.IFS($F$1=$Q$1,_xlfn.XLOOKUP($E2,$P$2:$P$100,Q$2:Q$100)&amp;"",$F$1=$S$1,_xlfn.XLOOKUP($E2,$R$2:$R$100,$S$2:$S$100)&amp;"",$F$1=$Y$1,_xlfn.XLOOKUP($E2,$X$2:$X$100,$Y$2:$Y$100)&amp;"",$F$1=$U$1,_xlfn.XLOOKUP($E2,$T$2:$T$100,$U$2:$U$100)&amp;"",$F$1=$W$1,_xlfn.XLOOKUP($E2,$V$2:$V$100,$W$2:$W$100)&amp;"",$F$1=$AA$1,_xlfn.XLOOKUP($E2,$Z$2:$Z$100,$AA$2:$AA$100)&amp;"",TRUE, ""),"")</f>
        <v>https://purl.demodata7.org/spec/GENINTEGRATION/clPRODUCT4 m/context|id</v>
      </c>
      <c r="G2" s="215" t="str" cm="1">
        <f t="array" ref="G2">IFERROR(IF($F2&lt;&gt;"",_xlfn.IFS($F$1="LM7 31 ClPRODUCT4 ms","LM7",$F$1="LMS1 31 ClPRODUCT4 ms","CV",$F$1="LMS2 31 ClPRODUCT4 ms","CL",$F$1="LMS5 31 ClPRODUCT4 ms","JZ",$F$1="LMS8 31 ClPRODUCT4 ms","DL",$F$1="LMS6 31 ClPRODUCT4 ms","MD",TRUE, ""),IF(AND($E$1="GENINTEGRATION 22 Attributes",$E2&lt;&gt;""),"22","")),"")</f>
        <v>CV</v>
      </c>
      <c r="H2" s="21" t="s">
        <v>83</v>
      </c>
      <c r="I2" s="21" t="s">
        <v>770</v>
      </c>
      <c r="J2" s="229" t="s">
        <v>48</v>
      </c>
      <c r="K2" s="229" t="s">
        <v>48</v>
      </c>
      <c r="L2" s="229" t="s">
        <v>48</v>
      </c>
      <c r="M2" s="229" t="s">
        <v>48</v>
      </c>
      <c r="N2" s="229" t="s">
        <v>48</v>
      </c>
      <c r="O2" s="229" t="s">
        <v>48</v>
      </c>
      <c r="P2" s="230" t="str">
        <f t="shared" ref="P2:P10" si="0">IF(AND($H2&lt;&gt;"",Q2&lt;&gt;""),$H2,"")</f>
        <v>context_id</v>
      </c>
      <c r="Q2" s="222" t="str">
        <f t="shared" ref="Q2:Q33" si="1">IF($J2="yes",$I2,"")</f>
        <v>https://purl.demodata7.org/spec/GENINTEGRATION/clPRODUCT4 m/context|id</v>
      </c>
      <c r="R2" s="230" t="str">
        <f t="shared" ref="R2:R33" si="2">IF(AND($H2&lt;&gt;"",S2&lt;&gt;""),$H2,"")</f>
        <v>context_id</v>
      </c>
      <c r="S2" s="222" t="str">
        <f t="shared" ref="S2:S33" si="3">IF($K2="yes",$I2,"")</f>
        <v>https://purl.demodata7.org/spec/GENINTEGRATION/clPRODUCT4 m/context|id</v>
      </c>
      <c r="T2" s="230" t="str">
        <f t="shared" ref="T2:T33" si="4">IF(AND($H2&lt;&gt;"",U2&lt;&gt;""),$H2,"")</f>
        <v>context_id</v>
      </c>
      <c r="U2" s="222" t="str">
        <f t="shared" ref="U2:U33" si="5">IF($L2="yes",$I2,"")</f>
        <v>https://purl.demodata7.org/spec/GENINTEGRATION/clPRODUCT4 m/context|id</v>
      </c>
      <c r="V2" s="230" t="str">
        <f t="shared" ref="V2:V33" si="6">IF(AND($H2&lt;&gt;"",W2&lt;&gt;""),$H2,"")</f>
        <v>context_id</v>
      </c>
      <c r="W2" s="222" t="str">
        <f t="shared" ref="W2:W33" si="7">IF($M2="yes",$I2,"")</f>
        <v>https://purl.demodata7.org/spec/GENINTEGRATION/clPRODUCT4 m/context|id</v>
      </c>
      <c r="X2" s="230" t="str">
        <f t="shared" ref="X2:X33" si="8">IF(AND($H2&lt;&gt;"",Y2&lt;&gt;""),$H2,"")</f>
        <v>context_id</v>
      </c>
      <c r="Y2" s="222" t="str">
        <f t="shared" ref="Y2:Y33" si="9">IF($N2="yes",$I2,"")</f>
        <v>https://purl.demodata7.org/spec/GENINTEGRATION/clPRODUCT4 m/context|id</v>
      </c>
      <c r="Z2" s="230" t="str">
        <f t="shared" ref="Z2:Z65" si="10">IF(AND($H2&lt;&gt;"",AA2&lt;&gt;""),$H2,"")</f>
        <v>context_id</v>
      </c>
      <c r="AA2" s="222" t="str">
        <f t="shared" ref="AA2:AA65" si="11">IF($L2="yes",$I2,"")</f>
        <v>https://purl.demodata7.org/spec/GENINTEGRATION/clPRODUCT4 m/context|id</v>
      </c>
      <c r="AC2" s="214" t="s">
        <v>84</v>
      </c>
      <c r="AD2" s="214"/>
    </row>
    <row r="3" spans="1:30" ht="20.100000000000001" customHeight="1" x14ac:dyDescent="0.55000000000000004">
      <c r="A3" s="15" t="str">
        <f>IF('Program Config'!$C$14&lt;&gt;"",IF(AND('Program Config'!$C$14&lt;&gt;"LMS3",'Program Config'!$C$14&lt;&gt;"LMS4",'Program Config'!$C$14&lt;&gt;"LMS11",'Program Config'!$C$14&lt;&gt;"LMS10"),"Adapter Name",""),"")</f>
        <v>Adapter Name</v>
      </c>
      <c r="B3" s="802" t="str">
        <f>IF('Program Config'!$C$14&lt;&gt;"",IF(AND('Program Config'!$C$14&lt;&gt;"LMS3",'Program Config'!$C$14&lt;&gt;"LMS4",'Program Config'!$C$14&lt;&gt;"LMS11",'Program Config'!$C$14&lt;&gt;"LMS10"),IF(AND(Concats!$A$8&lt;&gt;"",'Program Config'!$C$14&lt;&gt;""),(_xlfn.CONCAT(UPPER(SUBSTITUTE(Concats!$A$8,"/","")))&amp;" | "&amp;('Program Config'!$C$14)),"This component requires the PUBLIC &amp; the Integration Method"),""),"")</f>
        <v>LINKEDIN | LMS1 - GENINTEGRATION 31 Link &amp; Course NAV</v>
      </c>
      <c r="C3" s="802"/>
      <c r="E3" s="217" t="str" cm="1">
        <f t="array" ref="E3">IFERROR(_xlfn.IFS($E$1="GENINTEGRATION 22 Parameters",(_xlfn.IFS($F$1=$Q$1,INDEX($P$2:$P$100,MATCH(0,INDEX(COUNTIF($E$1:$E2,$P$2:$P$100)+(COUNTIF($P$2:$P$100,$P$2:$P$100)&lt;&gt;1),0,0),0)),$F$1=$S$1,INDEX($R$2:$R$100,MATCH(0,INDEX(COUNTIF($E$1:$E2,$R$2:$R$100)+(COUNTIF($R$2:$R$100,$R$2:$R$100)&lt;&gt;1),0,0),0)),$F$1=$U$1,INDEX($T$2:$T$100,MATCH(0,INDEX(COUNTIF($E$1:$E2,$T$2:$T$100)+(COUNTIF($T$2:$T$100,$T$2:$T$100)&lt;&gt;1),0,0),0)),$F$1=$W$1,INDEX($V$2:$V$100,MATCH(0,INDEX(COUNTIF($E$1:$E2,$V$2:$V$100)+(COUNTIF($V$2:$V$100,$V$2:$V$100)&lt;&gt;1),0,0),0)),$F$1=$Y$1,INDEX($X$2:$X$100,MATCH(0,INDEX(COUNTIF($E$1:$E2,$X$2:$X$100)+(COUNTIF($X$2:$X$100,$X$2:$X$100)&lt;&gt;1),0,0),0)),$F$1=$AA$1,INDEX($Z$2:$Z$100,MATCH(0,INDEX(COUNTIF($E$1:$E2,$Z$2:$Z$100)+(COUNTIF($Z$2:$Z$100,$Z$2:$Z$100)&lt;&gt;1),0,0),0)),TRUE,"")),$E$1="GENINTEGRATION 22 Attributes",INDEX($H$2:$H$100,MATCH(0,INDEX(COUNTIF($E$1:$E2,$H$2:$H$100)+(COUNTIF($H$2:$H$100,$H$2:$H$100)&lt;&gt;1),0,0),0)),TRUE,""),"")</f>
        <v>context_label</v>
      </c>
      <c r="F3" s="213" t="str" cm="1">
        <f t="array" ref="F3">IFERROR(_xlfn.IFS($F$1=$Q$1,_xlfn.XLOOKUP($E3,$P$2:$P$100,Q$2:Q$100)&amp;"",$F$1=$S$1,_xlfn.XLOOKUP($E3,$R$2:$R$100,$S$2:$S$100)&amp;"",$F$1=$Y$1,_xlfn.XLOOKUP($E3,$X$2:$X$100,$Y$2:$Y$100)&amp;"",$F$1=$U$1,_xlfn.XLOOKUP($E3,$T$2:$T$100,$U$2:$U$100)&amp;"",$F$1=$W$1,_xlfn.XLOOKUP($E3,$V$2:$V$100,$W$2:$W$100)&amp;"",$F$1=$AA$1,_xlfn.XLOOKUP($E3,$Z$2:$Z$100,$AA$2:$AA$100)&amp;"",TRUE, ""),"")</f>
        <v>https://purl.demodata7.org/spec/GENINTEGRATION/clPRODUCT4 m/context|label</v>
      </c>
      <c r="G3" s="215" t="str" cm="1">
        <f t="array" ref="G3">IFERROR(IF($F3&lt;&gt;"",_xlfn.IFS($F$1="LM7 31 ClPRODUCT4 ms","LM7",$F$1="LMS1 31 ClPRODUCT4 ms","CV",$F$1="LMS2 31 ClPRODUCT4 ms","CL",$F$1="LMS5 31 ClPRODUCT4 ms","JZ",$F$1="LMS8 31 ClPRODUCT4 ms","DL",$F$1="LMS6 31 ClPRODUCT4 ms","MD",TRUE, ""),IF(AND($E$1="GENINTEGRATION 22 Attributes",$E3&lt;&gt;""),"22","")),"")</f>
        <v>CV</v>
      </c>
      <c r="H3" s="21" t="s">
        <v>85</v>
      </c>
      <c r="I3" s="21" t="s">
        <v>771</v>
      </c>
      <c r="J3" s="229" t="s">
        <v>48</v>
      </c>
      <c r="K3" s="229" t="s">
        <v>48</v>
      </c>
      <c r="L3" s="229" t="s">
        <v>48</v>
      </c>
      <c r="M3" s="229" t="s">
        <v>48</v>
      </c>
      <c r="N3" s="229" t="s">
        <v>48</v>
      </c>
      <c r="O3" s="229" t="s">
        <v>48</v>
      </c>
      <c r="P3" s="230" t="str">
        <f t="shared" si="0"/>
        <v>context_label</v>
      </c>
      <c r="Q3" s="222" t="str">
        <f t="shared" si="1"/>
        <v>https://purl.demodata7.org/spec/GENINTEGRATION/clPRODUCT4 m/context|label</v>
      </c>
      <c r="R3" s="230" t="str">
        <f t="shared" si="2"/>
        <v>context_label</v>
      </c>
      <c r="S3" s="222" t="str">
        <f t="shared" si="3"/>
        <v>https://purl.demodata7.org/spec/GENINTEGRATION/clPRODUCT4 m/context|label</v>
      </c>
      <c r="T3" s="230" t="str">
        <f t="shared" si="4"/>
        <v>context_label</v>
      </c>
      <c r="U3" s="222" t="str">
        <f t="shared" si="5"/>
        <v>https://purl.demodata7.org/spec/GENINTEGRATION/clPRODUCT4 m/context|label</v>
      </c>
      <c r="V3" s="230" t="str">
        <f t="shared" si="6"/>
        <v>context_label</v>
      </c>
      <c r="W3" s="222" t="str">
        <f t="shared" si="7"/>
        <v>https://purl.demodata7.org/spec/GENINTEGRATION/clPRODUCT4 m/context|label</v>
      </c>
      <c r="X3" s="230" t="str">
        <f t="shared" si="8"/>
        <v>context_label</v>
      </c>
      <c r="Y3" s="222" t="str">
        <f t="shared" si="9"/>
        <v>https://purl.demodata7.org/spec/GENINTEGRATION/clPRODUCT4 m/context|label</v>
      </c>
      <c r="Z3" s="230" t="str">
        <f t="shared" si="10"/>
        <v>context_label</v>
      </c>
      <c r="AA3" s="222" t="str">
        <f t="shared" si="11"/>
        <v>https://purl.demodata7.org/spec/GENINTEGRATION/clPRODUCT4 m/context|label</v>
      </c>
      <c r="AC3" s="123" t="s">
        <v>86</v>
      </c>
      <c r="AD3" s="162" t="s">
        <v>87</v>
      </c>
    </row>
    <row r="4" spans="1:30" ht="20.100000000000001" customHeight="1" x14ac:dyDescent="0.55000000000000004">
      <c r="A4" s="809" t="str">
        <f>IF('Program Config'!$C$14&lt;&gt;"",IF(AND('Program Config'!$C$14&lt;&gt;"LMS3",'Program Config'!$C$14&lt;&gt;"LMS4",'Program Config'!$C$14&lt;&gt;"LMS11",'Program Config'!$C$14&lt;&gt;"LMS10"),"Recommended DemoData3 Build Settings Note",""),"")</f>
        <v>Recommended DemoData3 Build Settings Note</v>
      </c>
      <c r="B4" s="802" t="str">
        <f>TRIM(IF('Program Config'!$C$14&lt;&gt;"",IF(AND('Program Config'!$C$14&lt;&gt;"LMS3",'Program Config'!$C$14&lt;&gt;"LMS4",'Program Config'!$C$14&lt;&gt;"LMS11",'Program Config'!$C$14&lt;&gt;"LMS10"),IF(AND('Program Config'!$C$27&lt;&gt;"",'Program Config'!$H$2&lt;&gt;"",'Program Config'!$C$14&lt;&gt;""),_xlfn.CONCAT("")&amp;IF('Program Config'!$F$10&lt;&gt;"",_xlfn.CONCAT(""&amp;('Program Config'!$F$10)&amp;"",_xlfn.CONCAT(" | Program ID "&amp;('Program Config'!$C$27)&amp;" | "&amp;('Program Config'!$H$2)&amp;IF('Program Config'!$C$14&lt;&gt;"",_xlfn.CONCAT(" | "&amp;('Program Config'!$C$14),"")&amp;IF('Program Contacts &amp; Kickoff'!$B$1&lt;&gt;"",_xlfn.CONCAT(" | IM: "&amp;(VLOOKUP('Program Contacts &amp; Kickoff'!$B$1,'Program Contacts &amp; Kickoff'!$O$2:$Q$475,1,TRUE)&amp;""),""))))))&amp;IF('Program Config'!$H$3&lt;&gt;"",_xlfn.CONCAT("
Build Specs View-Only Link: "&amp;('Program Config'!$H$3)),"")&amp;IF('Program Config'!$F$34&lt;&gt;"",_xlfn.CONCAT("
LMS Required Unique DomPRODUCT4 n: "&amp;('Program Config'!$F$34)),"")&amp;IF('Program Config'!$H$4&lt;&gt;"",_xlfn.CONCAT("
JSM Ticket Link: "&amp;('Program Config'!$H$4)),"")&amp;IF('Program Config'!$H$2="GENINTEGRATION 31 Migration",_xlfn.CONCAT("
Team IM Migration Project Link: "&amp;"https://www.linkedin.com/in/jo-ann-balsamo"),""),"Get to Building! 🔨 🛠️ 🔧 This program has not been configured yet."),"This is true for:
• LMS3 Integrations
• LMS4 Integrations
• LMS10 Integrations
• LMS11 Programs"),""))</f>
        <v>DEMO | Program ID 2026 | New Build | LMS1 - GENINTEGRATION 31 Link &amp; Course NAV | IM: Clara Doyle
Build Specs View-Only Link: https://www.linkedin.com/in/jo-ann-balsamo/</v>
      </c>
      <c r="C4" s="802"/>
      <c r="E4" s="217" t="str" cm="1">
        <f t="array" ref="E4">IFERROR(_xlfn.IFS($E$1="GENINTEGRATION 22 Parameters",(_xlfn.IFS($F$1=$Q$1,INDEX($P$2:$P$100,MATCH(0,INDEX(COUNTIF($E$1:$E3,$P$2:$P$100)+(COUNTIF($P$2:$P$100,$P$2:$P$100)&lt;&gt;1),0,0),0)),$F$1=$S$1,INDEX($R$2:$R$100,MATCH(0,INDEX(COUNTIF($E$1:$E3,$R$2:$R$100)+(COUNTIF($R$2:$R$100,$R$2:$R$100)&lt;&gt;1),0,0),0)),$F$1=$U$1,INDEX($T$2:$T$100,MATCH(0,INDEX(COUNTIF($E$1:$E3,$T$2:$T$100)+(COUNTIF($T$2:$T$100,$T$2:$T$100)&lt;&gt;1),0,0),0)),$F$1=$W$1,INDEX($V$2:$V$100,MATCH(0,INDEX(COUNTIF($E$1:$E3,$V$2:$V$100)+(COUNTIF($V$2:$V$100,$V$2:$V$100)&lt;&gt;1),0,0),0)),$F$1=$Y$1,INDEX($X$2:$X$100,MATCH(0,INDEX(COUNTIF($E$1:$E3,$X$2:$X$100)+(COUNTIF($X$2:$X$100,$X$2:$X$100)&lt;&gt;1),0,0),0)),$F$1=$AA$1,INDEX($Z$2:$Z$100,MATCH(0,INDEX(COUNTIF($E$1:$E3,$Z$2:$Z$100)+(COUNTIF($Z$2:$Z$100,$Z$2:$Z$100)&lt;&gt;1),0,0),0)),TRUE,"")),$E$1="GENINTEGRATION 22 Attributes",INDEX($H$2:$H$100,MATCH(0,INDEX(COUNTIF($E$1:$E3,$H$2:$H$100)+(COUNTIF($H$2:$H$100,$H$2:$H$100)&lt;&gt;1),0,0),0)),TRUE,""),"")</f>
        <v>context_title</v>
      </c>
      <c r="F4" s="213" t="str" cm="1">
        <f t="array" ref="F4">IFERROR(_xlfn.IFS($F$1=$Q$1,_xlfn.XLOOKUP($E4,$P$2:$P$100,Q$2:Q$100)&amp;"",$F$1=$S$1,_xlfn.XLOOKUP($E4,$R$2:$R$100,$S$2:$S$100)&amp;"",$F$1=$Y$1,_xlfn.XLOOKUP($E4,$X$2:$X$100,$Y$2:$Y$100)&amp;"",$F$1=$U$1,_xlfn.XLOOKUP($E4,$T$2:$T$100,$U$2:$U$100)&amp;"",$F$1=$W$1,_xlfn.XLOOKUP($E4,$V$2:$V$100,$W$2:$W$100)&amp;"",$F$1=$AA$1,_xlfn.XLOOKUP($E4,$Z$2:$Z$100,$AA$2:$AA$100)&amp;"",TRUE, ""),"")</f>
        <v>https://purl.demodata7.org/spec/GENINTEGRATION/clPRODUCT4 m/context|title</v>
      </c>
      <c r="G4" s="215" t="str" cm="1">
        <f t="array" ref="G4">IFERROR(IF($F4&lt;&gt;"",_xlfn.IFS($F$1="LM7 31 ClPRODUCT4 ms","LM7",$F$1="LMS1 31 ClPRODUCT4 ms","CV",$F$1="LMS2 31 ClPRODUCT4 ms","CL",$F$1="LMS5 31 ClPRODUCT4 ms","JZ",$F$1="LMS8 31 ClPRODUCT4 ms","DL",$F$1="LMS6 31 ClPRODUCT4 ms","MD",TRUE, ""),IF(AND($E$1="GENINTEGRATION 22 Attributes",$E4&lt;&gt;""),"22","")),"")</f>
        <v>CV</v>
      </c>
      <c r="H4" s="21" t="s">
        <v>87</v>
      </c>
      <c r="I4" s="21" t="s">
        <v>772</v>
      </c>
      <c r="J4" s="229" t="s">
        <v>48</v>
      </c>
      <c r="K4" s="229" t="s">
        <v>48</v>
      </c>
      <c r="L4" s="229" t="s">
        <v>48</v>
      </c>
      <c r="M4" s="229" t="s">
        <v>48</v>
      </c>
      <c r="N4" s="229" t="s">
        <v>48</v>
      </c>
      <c r="O4" s="229" t="s">
        <v>48</v>
      </c>
      <c r="P4" s="230" t="str">
        <f t="shared" si="0"/>
        <v>context_title</v>
      </c>
      <c r="Q4" s="222" t="str">
        <f t="shared" si="1"/>
        <v>https://purl.demodata7.org/spec/GENINTEGRATION/clPRODUCT4 m/context|title</v>
      </c>
      <c r="R4" s="230" t="str">
        <f t="shared" si="2"/>
        <v>context_title</v>
      </c>
      <c r="S4" s="222" t="str">
        <f t="shared" si="3"/>
        <v>https://purl.demodata7.org/spec/GENINTEGRATION/clPRODUCT4 m/context|title</v>
      </c>
      <c r="T4" s="230" t="str">
        <f t="shared" si="4"/>
        <v>context_title</v>
      </c>
      <c r="U4" s="222" t="str">
        <f t="shared" si="5"/>
        <v>https://purl.demodata7.org/spec/GENINTEGRATION/clPRODUCT4 m/context|title</v>
      </c>
      <c r="V4" s="230" t="str">
        <f t="shared" si="6"/>
        <v>context_title</v>
      </c>
      <c r="W4" s="222" t="str">
        <f t="shared" si="7"/>
        <v>https://purl.demodata7.org/spec/GENINTEGRATION/clPRODUCT4 m/context|title</v>
      </c>
      <c r="X4" s="230" t="str">
        <f t="shared" si="8"/>
        <v>context_title</v>
      </c>
      <c r="Y4" s="222" t="str">
        <f t="shared" si="9"/>
        <v>https://purl.demodata7.org/spec/GENINTEGRATION/clPRODUCT4 m/context|title</v>
      </c>
      <c r="Z4" s="230" t="str">
        <f t="shared" si="10"/>
        <v>context_title</v>
      </c>
      <c r="AA4" s="222" t="str">
        <f t="shared" si="11"/>
        <v>https://purl.demodata7.org/spec/GENINTEGRATION/clPRODUCT4 m/context|title</v>
      </c>
      <c r="AC4" s="123" t="s">
        <v>88</v>
      </c>
      <c r="AD4" s="162" t="s">
        <v>83</v>
      </c>
    </row>
    <row r="5" spans="1:30" ht="20.100000000000001" customHeight="1" x14ac:dyDescent="0.55000000000000004">
      <c r="A5" s="809"/>
      <c r="B5" s="802"/>
      <c r="C5" s="802"/>
      <c r="E5" s="217" t="str" cm="1">
        <f t="array" ref="E5">IFERROR(_xlfn.IFS($E$1="GENINTEGRATION 22 Parameters",(_xlfn.IFS($F$1=$Q$1,INDEX($P$2:$P$100,MATCH(0,INDEX(COUNTIF($E$1:$E4,$P$2:$P$100)+(COUNTIF($P$2:$P$100,$P$2:$P$100)&lt;&gt;1),0,0),0)),$F$1=$S$1,INDEX($R$2:$R$100,MATCH(0,INDEX(COUNTIF($E$1:$E4,$R$2:$R$100)+(COUNTIF($R$2:$R$100,$R$2:$R$100)&lt;&gt;1),0,0),0)),$F$1=$U$1,INDEX($T$2:$T$100,MATCH(0,INDEX(COUNTIF($E$1:$E4,$T$2:$T$100)+(COUNTIF($T$2:$T$100,$T$2:$T$100)&lt;&gt;1),0,0),0)),$F$1=$W$1,INDEX($V$2:$V$100,MATCH(0,INDEX(COUNTIF($E$1:$E4,$V$2:$V$100)+(COUNTIF($V$2:$V$100,$V$2:$V$100)&lt;&gt;1),0,0),0)),$F$1=$Y$1,INDEX($X$2:$X$100,MATCH(0,INDEX(COUNTIF($E$1:$E4,$X$2:$X$100)+(COUNTIF($X$2:$X$100,$X$2:$X$100)&lt;&gt;1),0,0),0)),$F$1=$AA$1,INDEX($Z$2:$Z$100,MATCH(0,INDEX(COUNTIF($E$1:$E4,$Z$2:$Z$100)+(COUNTIF($Z$2:$Z$100,$Z$2:$Z$100)&lt;&gt;1),0,0),0)),TRUE,"")),$E$1="GENINTEGRATION 22 Attributes",INDEX($H$2:$H$100,MATCH(0,INDEX(COUNTIF($E$1:$E4,$H$2:$H$100)+(COUNTIF($H$2:$H$100,$H$2:$H$100)&lt;&gt;1),0,0),0)),TRUE,""),"")</f>
        <v>context_type</v>
      </c>
      <c r="F5" s="213" t="str" cm="1">
        <f t="array" ref="F5">IFERROR(_xlfn.IFS($F$1=$Q$1,_xlfn.XLOOKUP($E5,$P$2:$P$100,Q$2:Q$100)&amp;"",$F$1=$S$1,_xlfn.XLOOKUP($E5,$R$2:$R$100,$S$2:$S$100)&amp;"",$F$1=$Y$1,_xlfn.XLOOKUP($E5,$X$2:$X$100,$Y$2:$Y$100)&amp;"",$F$1=$U$1,_xlfn.XLOOKUP($E5,$T$2:$T$100,$U$2:$U$100)&amp;"",$F$1=$W$1,_xlfn.XLOOKUP($E5,$V$2:$V$100,$W$2:$W$100)&amp;"",$F$1=$AA$1,_xlfn.XLOOKUP($E5,$Z$2:$Z$100,$AA$2:$AA$100)&amp;"",TRUE, ""),"")</f>
        <v>https://purl.demodata7.org/spec/GENINTEGRATION/clPRODUCT4 m/context|type</v>
      </c>
      <c r="G5" s="215" t="str" cm="1">
        <f t="array" ref="G5">IFERROR(IF($F5&lt;&gt;"",_xlfn.IFS($F$1="LM7 31 ClPRODUCT4 ms","LM7",$F$1="LMS1 31 ClPRODUCT4 ms","CV",$F$1="LMS2 31 ClPRODUCT4 ms","CL",$F$1="LMS5 31 ClPRODUCT4 ms","JZ",$F$1="LMS8 31 ClPRODUCT4 ms","DL",$F$1="LMS6 31 ClPRODUCT4 ms","MD",TRUE, ""),IF(AND($E$1="GENINTEGRATION 22 Attributes",$E5&lt;&gt;""),"22","")),"")</f>
        <v>CV</v>
      </c>
      <c r="H5" s="21" t="s">
        <v>89</v>
      </c>
      <c r="I5" s="21" t="s">
        <v>773</v>
      </c>
      <c r="J5" s="229" t="s">
        <v>48</v>
      </c>
      <c r="K5" s="229" t="s">
        <v>48</v>
      </c>
      <c r="L5" s="229" t="s">
        <v>48</v>
      </c>
      <c r="M5" s="229" t="s">
        <v>48</v>
      </c>
      <c r="N5" s="229" t="s">
        <v>48</v>
      </c>
      <c r="O5" s="229" t="s">
        <v>48</v>
      </c>
      <c r="P5" s="230" t="str">
        <f t="shared" si="0"/>
        <v>context_type</v>
      </c>
      <c r="Q5" s="222" t="str">
        <f t="shared" si="1"/>
        <v>https://purl.demodata7.org/spec/GENINTEGRATION/clPRODUCT4 m/context|type</v>
      </c>
      <c r="R5" s="230" t="str">
        <f t="shared" si="2"/>
        <v>context_type</v>
      </c>
      <c r="S5" s="222" t="str">
        <f t="shared" si="3"/>
        <v>https://purl.demodata7.org/spec/GENINTEGRATION/clPRODUCT4 m/context|type</v>
      </c>
      <c r="T5" s="230" t="str">
        <f t="shared" si="4"/>
        <v>context_type</v>
      </c>
      <c r="U5" s="222" t="str">
        <f t="shared" si="5"/>
        <v>https://purl.demodata7.org/spec/GENINTEGRATION/clPRODUCT4 m/context|type</v>
      </c>
      <c r="V5" s="230" t="str">
        <f t="shared" si="6"/>
        <v>context_type</v>
      </c>
      <c r="W5" s="222" t="str">
        <f t="shared" si="7"/>
        <v>https://purl.demodata7.org/spec/GENINTEGRATION/clPRODUCT4 m/context|type</v>
      </c>
      <c r="X5" s="230" t="str">
        <f t="shared" si="8"/>
        <v>context_type</v>
      </c>
      <c r="Y5" s="222" t="str">
        <f t="shared" si="9"/>
        <v>https://purl.demodata7.org/spec/GENINTEGRATION/clPRODUCT4 m/context|type</v>
      </c>
      <c r="Z5" s="230" t="str">
        <f t="shared" si="10"/>
        <v>context_type</v>
      </c>
      <c r="AA5" s="222" t="str">
        <f t="shared" si="11"/>
        <v>https://purl.demodata7.org/spec/GENINTEGRATION/clPRODUCT4 m/context|type</v>
      </c>
      <c r="AC5" s="214" t="s">
        <v>681</v>
      </c>
      <c r="AD5" s="214"/>
    </row>
    <row r="6" spans="1:30" ht="20.100000000000001" customHeight="1" x14ac:dyDescent="0.55000000000000004">
      <c r="A6" s="809"/>
      <c r="B6" s="802"/>
      <c r="C6" s="802"/>
      <c r="E6" s="217" t="str" cm="1">
        <f t="array" ref="E6">IFERROR(_xlfn.IFS($E$1="GENINTEGRATION 22 Parameters",(_xlfn.IFS($F$1=$Q$1,INDEX($P$2:$P$100,MATCH(0,INDEX(COUNTIF($E$1:$E5,$P$2:$P$100)+(COUNTIF($P$2:$P$100,$P$2:$P$100)&lt;&gt;1),0,0),0)),$F$1=$S$1,INDEX($R$2:$R$100,MATCH(0,INDEX(COUNTIF($E$1:$E5,$R$2:$R$100)+(COUNTIF($R$2:$R$100,$R$2:$R$100)&lt;&gt;1),0,0),0)),$F$1=$U$1,INDEX($T$2:$T$100,MATCH(0,INDEX(COUNTIF($E$1:$E5,$T$2:$T$100)+(COUNTIF($T$2:$T$100,$T$2:$T$100)&lt;&gt;1),0,0),0)),$F$1=$W$1,INDEX($V$2:$V$100,MATCH(0,INDEX(COUNTIF($E$1:$E5,$V$2:$V$100)+(COUNTIF($V$2:$V$100,$V$2:$V$100)&lt;&gt;1),0,0),0)),$F$1=$Y$1,INDEX($X$2:$X$100,MATCH(0,INDEX(COUNTIF($E$1:$E5,$X$2:$X$100)+(COUNTIF($X$2:$X$100,$X$2:$X$100)&lt;&gt;1),0,0),0)),$F$1=$AA$1,INDEX($Z$2:$Z$100,MATCH(0,INDEX(COUNTIF($E$1:$E5,$Z$2:$Z$100)+(COUNTIF($Z$2:$Z$100,$Z$2:$Z$100)&lt;&gt;1),0,0),0)),TRUE,"")),$E$1="GENINTEGRATION 22 Attributes",INDEX($H$2:$H$100,MATCH(0,INDEX(COUNTIF($E$1:$E5,$H$2:$H$100)+(COUNTIF($H$2:$H$100,$H$2:$H$100)&lt;&gt;1),0,0),0)),TRUE,""),"")</f>
        <v>custom_ap (Full ClPRODUCT4 m)</v>
      </c>
      <c r="F6" s="213" t="str" cm="1">
        <f t="array" ref="F6">IFERROR(_xlfn.IFS($F$1=$Q$1,_xlfn.XLOOKUP($E6,$P$2:$P$100,Q$2:Q$100)&amp;"",$F$1=$S$1,_xlfn.XLOOKUP($E6,$R$2:$R$100,$S$2:$S$100)&amp;"",$F$1=$Y$1,_xlfn.XLOOKUP($E6,$X$2:$X$100,$Y$2:$Y$100)&amp;"",$F$1=$U$1,_xlfn.XLOOKUP($E6,$T$2:$T$100,$U$2:$U$100)&amp;"",$F$1=$W$1,_xlfn.XLOOKUP($E6,$V$2:$V$100,$W$2:$W$100)&amp;"",$F$1=$AA$1,_xlfn.XLOOKUP($E6,$Z$2:$Z$100,$AA$2:$AA$100)&amp;"",TRUE, ""),"")</f>
        <v>https://purl.demodata7.org/spec/GENINTEGRATION/clPRODUCT4 m/custom|custom_ap</v>
      </c>
      <c r="G6" s="215" t="str" cm="1">
        <f t="array" ref="G6">IFERROR(IF($F6&lt;&gt;"",_xlfn.IFS($F$1="LM7 31 ClPRODUCT4 ms","LM7",$F$1="LMS1 31 ClPRODUCT4 ms","CV",$F$1="LMS2 31 ClPRODUCT4 ms","CL",$F$1="LMS5 31 ClPRODUCT4 ms","JZ",$F$1="LMS8 31 ClPRODUCT4 ms","DL",$F$1="LMS6 31 ClPRODUCT4 ms","MD",TRUE, ""),IF(AND($E$1="GENINTEGRATION 22 Attributes",$E6&lt;&gt;""),"22","")),"")</f>
        <v>CV</v>
      </c>
      <c r="H6" s="21" t="s">
        <v>659</v>
      </c>
      <c r="I6" s="21" t="s">
        <v>774</v>
      </c>
      <c r="J6" s="229" t="s">
        <v>48</v>
      </c>
      <c r="K6" s="229" t="s">
        <v>48</v>
      </c>
      <c r="L6" s="229" t="s">
        <v>48</v>
      </c>
      <c r="M6" s="229" t="s">
        <v>48</v>
      </c>
      <c r="N6" s="229" t="s">
        <v>48</v>
      </c>
      <c r="O6" s="229" t="s">
        <v>48</v>
      </c>
      <c r="P6" s="230" t="str">
        <f t="shared" si="0"/>
        <v>custom_ap (Full ClPRODUCT4 m)</v>
      </c>
      <c r="Q6" s="222" t="str">
        <f t="shared" si="1"/>
        <v>https://purl.demodata7.org/spec/GENINTEGRATION/clPRODUCT4 m/custom|custom_ap</v>
      </c>
      <c r="R6" s="230" t="str">
        <f t="shared" si="2"/>
        <v>custom_ap (Full ClPRODUCT4 m)</v>
      </c>
      <c r="S6" s="222" t="str">
        <f t="shared" si="3"/>
        <v>https://purl.demodata7.org/spec/GENINTEGRATION/clPRODUCT4 m/custom|custom_ap</v>
      </c>
      <c r="T6" s="230" t="str">
        <f t="shared" si="4"/>
        <v>custom_ap (Full ClPRODUCT4 m)</v>
      </c>
      <c r="U6" s="222" t="str">
        <f t="shared" si="5"/>
        <v>https://purl.demodata7.org/spec/GENINTEGRATION/clPRODUCT4 m/custom|custom_ap</v>
      </c>
      <c r="V6" s="230" t="str">
        <f t="shared" si="6"/>
        <v>custom_ap (Full ClPRODUCT4 m)</v>
      </c>
      <c r="W6" s="222" t="str">
        <f t="shared" si="7"/>
        <v>https://purl.demodata7.org/spec/GENINTEGRATION/clPRODUCT4 m/custom|custom_ap</v>
      </c>
      <c r="X6" s="230" t="str">
        <f t="shared" si="8"/>
        <v>custom_ap (Full ClPRODUCT4 m)</v>
      </c>
      <c r="Y6" s="222" t="str">
        <f t="shared" si="9"/>
        <v>https://purl.demodata7.org/spec/GENINTEGRATION/clPRODUCT4 m/custom|custom_ap</v>
      </c>
      <c r="Z6" s="230" t="str">
        <f t="shared" si="10"/>
        <v>custom_ap (Full ClPRODUCT4 m)</v>
      </c>
      <c r="AA6" s="222" t="str">
        <f t="shared" si="11"/>
        <v>https://purl.demodata7.org/spec/GENINTEGRATION/clPRODUCT4 m/custom|custom_ap</v>
      </c>
      <c r="AC6" s="123" t="s">
        <v>86</v>
      </c>
      <c r="AD6" s="162" t="s">
        <v>682</v>
      </c>
    </row>
    <row r="7" spans="1:30" ht="20.100000000000001" customHeight="1" x14ac:dyDescent="0.55000000000000004">
      <c r="A7" s="809"/>
      <c r="B7" s="802"/>
      <c r="C7" s="802"/>
      <c r="D7" s="231"/>
      <c r="E7" s="217" t="str" cm="1">
        <f t="array" ref="E7">IFERROR(_xlfn.IFS($E$1="GENINTEGRATION 22 Parameters",(_xlfn.IFS($F$1=$Q$1,INDEX($P$2:$P$100,MATCH(0,INDEX(COUNTIF($E$1:$E6,$P$2:$P$100)+(COUNTIF($P$2:$P$100,$P$2:$P$100)&lt;&gt;1),0,0),0)),$F$1=$S$1,INDEX($R$2:$R$100,MATCH(0,INDEX(COUNTIF($E$1:$E6,$R$2:$R$100)+(COUNTIF($R$2:$R$100,$R$2:$R$100)&lt;&gt;1),0,0),0)),$F$1=$U$1,INDEX($T$2:$T$100,MATCH(0,INDEX(COUNTIF($E$1:$E6,$T$2:$T$100)+(COUNTIF($T$2:$T$100,$T$2:$T$100)&lt;&gt;1),0,0),0)),$F$1=$W$1,INDEX($V$2:$V$100,MATCH(0,INDEX(COUNTIF($E$1:$E6,$V$2:$V$100)+(COUNTIF($V$2:$V$100,$V$2:$V$100)&lt;&gt;1),0,0),0)),$F$1=$Y$1,INDEX($X$2:$X$100,MATCH(0,INDEX(COUNTIF($E$1:$E6,$X$2:$X$100)+(COUNTIF($X$2:$X$100,$X$2:$X$100)&lt;&gt;1),0,0),0)),$F$1=$AA$1,INDEX($Z$2:$Z$100,MATCH(0,INDEX(COUNTIF($E$1:$E6,$Z$2:$Z$100)+(COUNTIF($Z$2:$Z$100,$Z$2:$Z$100)&lt;&gt;1),0,0),0)),TRUE,"")),$E$1="GENINTEGRATION 22 Attributes",INDEX($H$2:$H$100,MATCH(0,INDEX(COUNTIF($E$1:$E6,$H$2:$H$100)+(COUNTIF($H$2:$H$100,$H$2:$H$100)&lt;&gt;1),0,0),0)),TRUE,""),"")</f>
        <v>custom_ap</v>
      </c>
      <c r="F7" s="213" t="str" cm="1">
        <f t="array" ref="F7">IFERROR(_xlfn.IFS($F$1=$Q$1,_xlfn.XLOOKUP($E7,$P$2:$P$100,Q$2:Q$100)&amp;"",$F$1=$S$1,_xlfn.XLOOKUP($E7,$R$2:$R$100,$S$2:$S$100)&amp;"",$F$1=$Y$1,_xlfn.XLOOKUP($E7,$X$2:$X$100,$Y$2:$Y$100)&amp;"",$F$1=$U$1,_xlfn.XLOOKUP($E7,$T$2:$T$100,$U$2:$U$100)&amp;"",$F$1=$W$1,_xlfn.XLOOKUP($E7,$V$2:$V$100,$W$2:$W$100)&amp;"",$F$1=$AA$1,_xlfn.XLOOKUP($E7,$Z$2:$Z$100,$AA$2:$AA$100)&amp;"",TRUE, ""),"")</f>
        <v>custom_ap</v>
      </c>
      <c r="G7" s="215" t="str" cm="1">
        <f t="array" ref="G7">IFERROR(IF($F7&lt;&gt;"",_xlfn.IFS($F$1="LM7 31 ClPRODUCT4 ms","LM7",$F$1="LMS1 31 ClPRODUCT4 ms","CV",$F$1="LMS2 31 ClPRODUCT4 ms","CL",$F$1="LMS5 31 ClPRODUCT4 ms","JZ",$F$1="LMS8 31 ClPRODUCT4 ms","DL",$F$1="LMS6 31 ClPRODUCT4 ms","MD",TRUE, ""),IF(AND($E$1="GENINTEGRATION 22 Attributes",$E7&lt;&gt;""),"22","")),"")</f>
        <v>CV</v>
      </c>
      <c r="H7" s="21" t="s">
        <v>67</v>
      </c>
      <c r="I7" s="21" t="s">
        <v>67</v>
      </c>
      <c r="J7" s="229" t="s">
        <v>48</v>
      </c>
      <c r="K7" s="229" t="s">
        <v>48</v>
      </c>
      <c r="L7" s="229" t="s">
        <v>48</v>
      </c>
      <c r="M7" s="229" t="s">
        <v>48</v>
      </c>
      <c r="N7" s="229" t="s">
        <v>48</v>
      </c>
      <c r="O7" s="229" t="s">
        <v>48</v>
      </c>
      <c r="P7" s="230" t="str">
        <f t="shared" si="0"/>
        <v>custom_ap</v>
      </c>
      <c r="Q7" s="222" t="str">
        <f t="shared" si="1"/>
        <v>custom_ap</v>
      </c>
      <c r="R7" s="230" t="str">
        <f t="shared" si="2"/>
        <v>custom_ap</v>
      </c>
      <c r="S7" s="222" t="str">
        <f t="shared" si="3"/>
        <v>custom_ap</v>
      </c>
      <c r="T7" s="230" t="str">
        <f t="shared" si="4"/>
        <v>custom_ap</v>
      </c>
      <c r="U7" s="222" t="str">
        <f t="shared" si="5"/>
        <v>custom_ap</v>
      </c>
      <c r="V7" s="230" t="str">
        <f t="shared" si="6"/>
        <v>custom_ap</v>
      </c>
      <c r="W7" s="222" t="str">
        <f t="shared" si="7"/>
        <v>custom_ap</v>
      </c>
      <c r="X7" s="230" t="str">
        <f t="shared" si="8"/>
        <v>custom_ap</v>
      </c>
      <c r="Y7" s="222" t="str">
        <f t="shared" si="9"/>
        <v>custom_ap</v>
      </c>
      <c r="Z7" s="230" t="str">
        <f t="shared" si="10"/>
        <v>custom_ap</v>
      </c>
      <c r="AA7" s="222" t="str">
        <f t="shared" si="11"/>
        <v>custom_ap</v>
      </c>
      <c r="AC7" s="123" t="s">
        <v>88</v>
      </c>
      <c r="AD7" s="162" t="s">
        <v>90</v>
      </c>
    </row>
    <row r="8" spans="1:30" ht="20.100000000000001" customHeight="1" x14ac:dyDescent="0.55000000000000004">
      <c r="A8" s="809"/>
      <c r="B8" s="802"/>
      <c r="C8" s="802"/>
      <c r="E8" s="217" t="str" cm="1">
        <f t="array" ref="E8">IFERROR(_xlfn.IFS($E$1="GENINTEGRATION 22 Parameters",(_xlfn.IFS($F$1=$Q$1,INDEX($P$2:$P$100,MATCH(0,INDEX(COUNTIF($E$1:$E7,$P$2:$P$100)+(COUNTIF($P$2:$P$100,$P$2:$P$100)&lt;&gt;1),0,0),0)),$F$1=$S$1,INDEX($R$2:$R$100,MATCH(0,INDEX(COUNTIF($E$1:$E7,$R$2:$R$100)+(COUNTIF($R$2:$R$100,$R$2:$R$100)&lt;&gt;1),0,0),0)),$F$1=$U$1,INDEX($T$2:$T$100,MATCH(0,INDEX(COUNTIF($E$1:$E7,$T$2:$T$100)+(COUNTIF($T$2:$T$100,$T$2:$T$100)&lt;&gt;1),0,0),0)),$F$1=$W$1,INDEX($V$2:$V$100,MATCH(0,INDEX(COUNTIF($E$1:$E7,$V$2:$V$100)+(COUNTIF($V$2:$V$100,$V$2:$V$100)&lt;&gt;1),0,0),0)),$F$1=$Y$1,INDEX($X$2:$X$100,MATCH(0,INDEX(COUNTIF($E$1:$E7,$X$2:$X$100)+(COUNTIF($X$2:$X$100,$X$2:$X$100)&lt;&gt;1),0,0),0)),$F$1=$AA$1,INDEX($Z$2:$Z$100,MATCH(0,INDEX(COUNTIF($E$1:$E7,$Z$2:$Z$100)+(COUNTIF($Z$2:$Z$100,$Z$2:$Z$100)&lt;&gt;1),0,0),0)),TRUE,"")),$E$1="GENINTEGRATION 22 Attributes",INDEX($H$2:$H$100,MATCH(0,INDEX(COUNTIF($E$1:$E7,$H$2:$H$100)+(COUNTIF($H$2:$H$100,$H$2:$H$100)&lt;&gt;1),0,0),0)),TRUE,""),"")</f>
        <v>custom_LMS1_user_LI_id</v>
      </c>
      <c r="F8" s="213" t="str" cm="1">
        <f t="array" ref="F8">IFERROR(_xlfn.IFS($F$1=$Q$1,_xlfn.XLOOKUP($E8,$P$2:$P$100,Q$2:Q$100)&amp;"",$F$1=$S$1,_xlfn.XLOOKUP($E8,$R$2:$R$100,$S$2:$S$100)&amp;"",$F$1=$Y$1,_xlfn.XLOOKUP($E8,$X$2:$X$100,$Y$2:$Y$100)&amp;"",$F$1=$U$1,_xlfn.XLOOKUP($E8,$T$2:$T$100,$U$2:$U$100)&amp;"",$F$1=$W$1,_xlfn.XLOOKUP($E8,$V$2:$V$100,$W$2:$W$100)&amp;"",$F$1=$AA$1,_xlfn.XLOOKUP($E8,$Z$2:$Z$100,$AA$2:$AA$100)&amp;"",TRUE, ""),"")</f>
        <v>https://purl.demodata7.org/spec/GENINTEGRATION/clPRODUCT4 m/lis|person_Type2</v>
      </c>
      <c r="G8" s="215" t="str" cm="1">
        <f t="array" ref="G8">IFERROR(IF($F8&lt;&gt;"",_xlfn.IFS($F$1="LM7 31 ClPRODUCT4 ms","LM7",$F$1="LMS1 31 ClPRODUCT4 ms","CV",$F$1="LMS2 31 ClPRODUCT4 ms","CL",$F$1="LMS5 31 ClPRODUCT4 ms","JZ",$F$1="LMS8 31 ClPRODUCT4 ms","DL",$F$1="LMS6 31 ClPRODUCT4 ms","MD",TRUE, ""),IF(AND($E$1="GENINTEGRATION 22 Attributes",$E8&lt;&gt;""),"22","")),"")</f>
        <v>CV</v>
      </c>
      <c r="H8" s="21" t="s">
        <v>880</v>
      </c>
      <c r="I8" s="21" t="s">
        <v>1002</v>
      </c>
      <c r="J8" s="229" t="s">
        <v>42</v>
      </c>
      <c r="K8" s="229" t="s">
        <v>48</v>
      </c>
      <c r="L8" s="229" t="s">
        <v>42</v>
      </c>
      <c r="M8" s="229" t="s">
        <v>42</v>
      </c>
      <c r="N8" s="229" t="s">
        <v>42</v>
      </c>
      <c r="O8" s="229" t="s">
        <v>42</v>
      </c>
      <c r="P8" s="230" t="str">
        <f t="shared" si="0"/>
        <v/>
      </c>
      <c r="Q8" s="222" t="str">
        <f t="shared" si="1"/>
        <v/>
      </c>
      <c r="R8" s="230" t="str">
        <f t="shared" si="2"/>
        <v>custom_LMS1_user_LI_id</v>
      </c>
      <c r="S8" s="222" t="str">
        <f t="shared" si="3"/>
        <v>https://purl.demodata7.org/spec/GENINTEGRATION/clPRODUCT4 m/lis|person_Type2</v>
      </c>
      <c r="T8" s="230" t="str">
        <f t="shared" si="4"/>
        <v/>
      </c>
      <c r="U8" s="222" t="str">
        <f t="shared" si="5"/>
        <v/>
      </c>
      <c r="V8" s="230" t="str">
        <f t="shared" si="6"/>
        <v/>
      </c>
      <c r="W8" s="222" t="str">
        <f t="shared" si="7"/>
        <v/>
      </c>
      <c r="X8" s="230" t="str">
        <f t="shared" si="8"/>
        <v/>
      </c>
      <c r="Y8" s="222" t="str">
        <f t="shared" si="9"/>
        <v/>
      </c>
      <c r="Z8" s="230" t="str">
        <f t="shared" si="10"/>
        <v/>
      </c>
      <c r="AA8" s="222" t="str">
        <f t="shared" si="11"/>
        <v/>
      </c>
    </row>
    <row r="9" spans="1:30" ht="20.100000000000001" customHeight="1" x14ac:dyDescent="0.55000000000000004">
      <c r="A9" s="809"/>
      <c r="B9" s="802"/>
      <c r="C9" s="802"/>
      <c r="E9" s="217" t="str" cm="1">
        <f t="array" ref="E9">IFERROR(_xlfn.IFS($E$1="GENINTEGRATION 22 Parameters",(_xlfn.IFS($F$1=$Q$1,INDEX($P$2:$P$100,MATCH(0,INDEX(COUNTIF($E$1:$E8,$P$2:$P$100)+(COUNTIF($P$2:$P$100,$P$2:$P$100)&lt;&gt;1),0,0),0)),$F$1=$S$1,INDEX($R$2:$R$100,MATCH(0,INDEX(COUNTIF($E$1:$E8,$R$2:$R$100)+(COUNTIF($R$2:$R$100,$R$2:$R$100)&lt;&gt;1),0,0),0)),$F$1=$U$1,INDEX($T$2:$T$100,MATCH(0,INDEX(COUNTIF($E$1:$E8,$T$2:$T$100)+(COUNTIF($T$2:$T$100,$T$2:$T$100)&lt;&gt;1),0,0),0)),$F$1=$W$1,INDEX($V$2:$V$100,MATCH(0,INDEX(COUNTIF($E$1:$E8,$V$2:$V$100)+(COUNTIF($V$2:$V$100,$V$2:$V$100)&lt;&gt;1),0,0),0)),$F$1=$Y$1,INDEX($X$2:$X$100,MATCH(0,INDEX(COUNTIF($E$1:$E8,$X$2:$X$100)+(COUNTIF($X$2:$X$100,$X$2:$X$100)&lt;&gt;1),0,0),0)),$F$1=$AA$1,INDEX($Z$2:$Z$100,MATCH(0,INDEX(COUNTIF($E$1:$E8,$Z$2:$Z$100)+(COUNTIF($Z$2:$Z$100,$Z$2:$Z$100)&lt;&gt;1),0,0),0)),TRUE,"")),$E$1="GENINTEGRATION 22 Attributes",INDEX($H$2:$H$100,MATCH(0,INDEX(COUNTIF($E$1:$E8,$H$2:$H$100)+(COUNTIF($H$2:$H$100,$H$2:$H$100)&lt;&gt;1),0,0),0)),TRUE,""),"")</f>
        <v>custom_DemoData27name (Full ClPRODUCT4 m)</v>
      </c>
      <c r="F9" s="213" t="str" cm="1">
        <f t="array" ref="F9">IFERROR(_xlfn.IFS($F$1=$Q$1,_xlfn.XLOOKUP($E9,$P$2:$P$100,Q$2:Q$100)&amp;"",$F$1=$S$1,_xlfn.XLOOKUP($E9,$R$2:$R$100,$S$2:$S$100)&amp;"",$F$1=$Y$1,_xlfn.XLOOKUP($E9,$X$2:$X$100,$Y$2:$Y$100)&amp;"",$F$1=$U$1,_xlfn.XLOOKUP($E9,$T$2:$T$100,$U$2:$U$100)&amp;"",$F$1=$W$1,_xlfn.XLOOKUP($E9,$V$2:$V$100,$W$2:$W$100)&amp;"",$F$1=$AA$1,_xlfn.XLOOKUP($E9,$Z$2:$Z$100,$AA$2:$AA$100)&amp;"",TRUE, ""),"")</f>
        <v>https://purl.demodata7.org/spec/GENINTEGRATION/clPRODUCT4 m/custom|custom_DemoData27name</v>
      </c>
      <c r="G9" s="215" t="str" cm="1">
        <f t="array" ref="G9">IFERROR(IF($F9&lt;&gt;"",_xlfn.IFS($F$1="LM7 31 ClPRODUCT4 ms","LM7",$F$1="LMS1 31 ClPRODUCT4 ms","CV",$F$1="LMS2 31 ClPRODUCT4 ms","CL",$F$1="LMS5 31 ClPRODUCT4 ms","JZ",$F$1="LMS8 31 ClPRODUCT4 ms","DL",$F$1="LMS6 31 ClPRODUCT4 ms","MD",TRUE, ""),IF(AND($E$1="GENINTEGRATION 22 Attributes",$E9&lt;&gt;""),"22","")),"")</f>
        <v>CV</v>
      </c>
      <c r="H9" s="21" t="s">
        <v>722</v>
      </c>
      <c r="I9" s="21" t="s">
        <v>775</v>
      </c>
      <c r="J9" s="229" t="s">
        <v>48</v>
      </c>
      <c r="K9" s="229" t="s">
        <v>48</v>
      </c>
      <c r="L9" s="229" t="s">
        <v>48</v>
      </c>
      <c r="M9" s="229" t="s">
        <v>48</v>
      </c>
      <c r="N9" s="229" t="s">
        <v>48</v>
      </c>
      <c r="O9" s="229" t="s">
        <v>48</v>
      </c>
      <c r="P9" s="230" t="str">
        <f t="shared" si="0"/>
        <v>custom_DemoData27name (Full ClPRODUCT4 m)</v>
      </c>
      <c r="Q9" s="222" t="str">
        <f t="shared" si="1"/>
        <v>https://purl.demodata7.org/spec/GENINTEGRATION/clPRODUCT4 m/custom|custom_DemoData27name</v>
      </c>
      <c r="R9" s="230" t="str">
        <f t="shared" si="2"/>
        <v>custom_DemoData27name (Full ClPRODUCT4 m)</v>
      </c>
      <c r="S9" s="222" t="str">
        <f t="shared" si="3"/>
        <v>https://purl.demodata7.org/spec/GENINTEGRATION/clPRODUCT4 m/custom|custom_DemoData27name</v>
      </c>
      <c r="T9" s="230" t="str">
        <f t="shared" si="4"/>
        <v>custom_DemoData27name (Full ClPRODUCT4 m)</v>
      </c>
      <c r="U9" s="222" t="str">
        <f t="shared" si="5"/>
        <v>https://purl.demodata7.org/spec/GENINTEGRATION/clPRODUCT4 m/custom|custom_DemoData27name</v>
      </c>
      <c r="V9" s="230" t="str">
        <f t="shared" si="6"/>
        <v>custom_DemoData27name (Full ClPRODUCT4 m)</v>
      </c>
      <c r="W9" s="222" t="str">
        <f t="shared" si="7"/>
        <v>https://purl.demodata7.org/spec/GENINTEGRATION/clPRODUCT4 m/custom|custom_DemoData27name</v>
      </c>
      <c r="X9" s="230" t="str">
        <f t="shared" si="8"/>
        <v>custom_DemoData27name (Full ClPRODUCT4 m)</v>
      </c>
      <c r="Y9" s="222" t="str">
        <f t="shared" si="9"/>
        <v>https://purl.demodata7.org/spec/GENINTEGRATION/clPRODUCT4 m/custom|custom_DemoData27name</v>
      </c>
      <c r="Z9" s="230" t="str">
        <f t="shared" si="10"/>
        <v>custom_DemoData27name (Full ClPRODUCT4 m)</v>
      </c>
      <c r="AA9" s="222" t="str">
        <f t="shared" si="11"/>
        <v>https://purl.demodata7.org/spec/GENINTEGRATION/clPRODUCT4 m/custom|custom_DemoData27name</v>
      </c>
    </row>
    <row r="10" spans="1:30" ht="20.100000000000001" customHeight="1" x14ac:dyDescent="0.55000000000000004">
      <c r="A10" s="809"/>
      <c r="B10" s="802"/>
      <c r="C10" s="802"/>
      <c r="E10" s="217" t="str" cm="1">
        <f t="array" ref="E10">IFERROR(_xlfn.IFS($E$1="GENINTEGRATION 22 Parameters",(_xlfn.IFS($F$1=$Q$1,INDEX($P$2:$P$100,MATCH(0,INDEX(COUNTIF($E$1:$E9,$P$2:$P$100)+(COUNTIF($P$2:$P$100,$P$2:$P$100)&lt;&gt;1),0,0),0)),$F$1=$S$1,INDEX($R$2:$R$100,MATCH(0,INDEX(COUNTIF($E$1:$E9,$R$2:$R$100)+(COUNTIF($R$2:$R$100,$R$2:$R$100)&lt;&gt;1),0,0),0)),$F$1=$U$1,INDEX($T$2:$T$100,MATCH(0,INDEX(COUNTIF($E$1:$E9,$T$2:$T$100)+(COUNTIF($T$2:$T$100,$T$2:$T$100)&lt;&gt;1),0,0),0)),$F$1=$W$1,INDEX($V$2:$V$100,MATCH(0,INDEX(COUNTIF($E$1:$E9,$V$2:$V$100)+(COUNTIF($V$2:$V$100,$V$2:$V$100)&lt;&gt;1),0,0),0)),$F$1=$Y$1,INDEX($X$2:$X$100,MATCH(0,INDEX(COUNTIF($E$1:$E9,$X$2:$X$100)+(COUNTIF($X$2:$X$100,$X$2:$X$100)&lt;&gt;1),0,0),0)),$F$1=$AA$1,INDEX($Z$2:$Z$100,MATCH(0,INDEX(COUNTIF($E$1:$E9,$Z$2:$Z$100)+(COUNTIF($Z$2:$Z$100,$Z$2:$Z$100)&lt;&gt;1),0,0),0)),TRUE,"")),$E$1="GENINTEGRATION 22 Attributes",INDEX($H$2:$H$100,MATCH(0,INDEX(COUNTIF($E$1:$E9,$H$2:$H$100)+(COUNTIF($H$2:$H$100,$H$2:$H$100)&lt;&gt;1),0,0),0)),TRUE,""),"")</f>
        <v>custom_DemoData27name</v>
      </c>
      <c r="F10" s="213" t="str" cm="1">
        <f t="array" ref="F10">IFERROR(_xlfn.IFS($F$1=$Q$1,_xlfn.XLOOKUP($E10,$P$2:$P$100,Q$2:Q$100)&amp;"",$F$1=$S$1,_xlfn.XLOOKUP($E10,$R$2:$R$100,$S$2:$S$100)&amp;"",$F$1=$Y$1,_xlfn.XLOOKUP($E10,$X$2:$X$100,$Y$2:$Y$100)&amp;"",$F$1=$U$1,_xlfn.XLOOKUP($E10,$T$2:$T$100,$U$2:$U$100)&amp;"",$F$1=$W$1,_xlfn.XLOOKUP($E10,$V$2:$V$100,$W$2:$W$100)&amp;"",$F$1=$AA$1,_xlfn.XLOOKUP($E10,$Z$2:$Z$100,$AA$2:$AA$100)&amp;"",TRUE, ""),"")</f>
        <v>custom_DemoData27name</v>
      </c>
      <c r="G10" s="215" t="str" cm="1">
        <f t="array" ref="G10">IFERROR(IF($F10&lt;&gt;"",_xlfn.IFS($F$1="LM7 31 ClPRODUCT4 ms","LM7",$F$1="LMS1 31 ClPRODUCT4 ms","CV",$F$1="LMS2 31 ClPRODUCT4 ms","CL",$F$1="LMS5 31 ClPRODUCT4 ms","JZ",$F$1="LMS8 31 ClPRODUCT4 ms","DL",$F$1="LMS6 31 ClPRODUCT4 ms","MD",TRUE, ""),IF(AND($E$1="GENINTEGRATION 22 Attributes",$E10&lt;&gt;""),"22","")),"")</f>
        <v>CV</v>
      </c>
      <c r="H10" s="21" t="s">
        <v>723</v>
      </c>
      <c r="I10" s="21" t="s">
        <v>723</v>
      </c>
      <c r="J10" s="229" t="s">
        <v>48</v>
      </c>
      <c r="K10" s="229" t="s">
        <v>48</v>
      </c>
      <c r="L10" s="229" t="s">
        <v>48</v>
      </c>
      <c r="M10" s="229" t="s">
        <v>48</v>
      </c>
      <c r="N10" s="229" t="s">
        <v>48</v>
      </c>
      <c r="O10" s="229" t="s">
        <v>48</v>
      </c>
      <c r="P10" s="230" t="str">
        <f t="shared" si="0"/>
        <v>custom_DemoData27name</v>
      </c>
      <c r="Q10" s="222" t="str">
        <f t="shared" si="1"/>
        <v>custom_DemoData27name</v>
      </c>
      <c r="R10" s="230" t="str">
        <f t="shared" si="2"/>
        <v>custom_DemoData27name</v>
      </c>
      <c r="S10" s="222" t="str">
        <f t="shared" si="3"/>
        <v>custom_DemoData27name</v>
      </c>
      <c r="T10" s="230" t="str">
        <f t="shared" si="4"/>
        <v>custom_DemoData27name</v>
      </c>
      <c r="U10" s="222" t="str">
        <f t="shared" si="5"/>
        <v>custom_DemoData27name</v>
      </c>
      <c r="V10" s="230" t="str">
        <f t="shared" si="6"/>
        <v>custom_DemoData27name</v>
      </c>
      <c r="W10" s="222" t="str">
        <f t="shared" si="7"/>
        <v>custom_DemoData27name</v>
      </c>
      <c r="X10" s="230" t="str">
        <f t="shared" si="8"/>
        <v>custom_DemoData27name</v>
      </c>
      <c r="Y10" s="222" t="str">
        <f t="shared" si="9"/>
        <v>custom_DemoData27name</v>
      </c>
      <c r="Z10" s="230" t="str">
        <f t="shared" si="10"/>
        <v>custom_DemoData27name</v>
      </c>
      <c r="AA10" s="222" t="str">
        <f t="shared" si="11"/>
        <v>custom_DemoData27name</v>
      </c>
      <c r="AC10" s="806" t="s">
        <v>848</v>
      </c>
      <c r="AD10" s="806"/>
    </row>
    <row r="11" spans="1:30" ht="20.100000000000001" customHeight="1" x14ac:dyDescent="0.55000000000000004">
      <c r="A11" s="809"/>
      <c r="B11" s="802"/>
      <c r="C11" s="802"/>
      <c r="E11" s="217" t="str" cm="1">
        <f t="array" ref="E11">IFERROR(_xlfn.IFS($E$1="GENINTEGRATION 22 Parameters",(_xlfn.IFS($F$1=$Q$1,INDEX($P$2:$P$100,MATCH(0,INDEX(COUNTIF($E$1:$E10,$P$2:$P$100)+(COUNTIF($P$2:$P$100,$P$2:$P$100)&lt;&gt;1),0,0),0)),$F$1=$S$1,INDEX($R$2:$R$100,MATCH(0,INDEX(COUNTIF($E$1:$E10,$R$2:$R$100)+(COUNTIF($R$2:$R$100,$R$2:$R$100)&lt;&gt;1),0,0),0)),$F$1=$U$1,INDEX($T$2:$T$100,MATCH(0,INDEX(COUNTIF($E$1:$E10,$T$2:$T$100)+(COUNTIF($T$2:$T$100,$T$2:$T$100)&lt;&gt;1),0,0),0)),$F$1=$W$1,INDEX($V$2:$V$100,MATCH(0,INDEX(COUNTIF($E$1:$E10,$V$2:$V$100)+(COUNTIF($V$2:$V$100,$V$2:$V$100)&lt;&gt;1),0,0),0)),$F$1=$Y$1,INDEX($X$2:$X$100,MATCH(0,INDEX(COUNTIF($E$1:$E10,$X$2:$X$100)+(COUNTIF($X$2:$X$100,$X$2:$X$100)&lt;&gt;1),0,0),0)),$F$1=$AA$1,INDEX($Z$2:$Z$100,MATCH(0,INDEX(COUNTIF($E$1:$E10,$Z$2:$Z$100)+(COUNTIF($Z$2:$Z$100,$Z$2:$Z$100)&lt;&gt;1),0,0),0)),TRUE,"")),$E$1="GENINTEGRATION 22 Attributes",INDEX($H$2:$H$100,MATCH(0,INDEX(COUNTIF($E$1:$E10,$H$2:$H$100)+(COUNTIF($H$2:$H$100,$H$2:$H$100)&lt;&gt;1),0,0),0)),TRUE,""),"")</f>
        <v>ext</v>
      </c>
      <c r="F11" s="213" t="str" cm="1">
        <f t="array" ref="F11">IFERROR(_xlfn.IFS($F$1=$Q$1,_xlfn.XLOOKUP($E11,$P$2:$P$100,Q$2:Q$100)&amp;"",$F$1=$S$1,_xlfn.XLOOKUP($E11,$R$2:$R$100,$S$2:$S$100)&amp;"",$F$1=$Y$1,_xlfn.XLOOKUP($E11,$X$2:$X$100,$Y$2:$Y$100)&amp;"",$F$1=$U$1,_xlfn.XLOOKUP($E11,$T$2:$T$100,$U$2:$U$100)&amp;"",$F$1=$W$1,_xlfn.XLOOKUP($E11,$V$2:$V$100,$W$2:$W$100)&amp;"",$F$1=$AA$1,_xlfn.XLOOKUP($E11,$Z$2:$Z$100,$AA$2:$AA$100)&amp;"",TRUE, ""),"")</f>
        <v>https://{domPRODUCT4 n}/{clPRODUCT4 mDemoData2h}</v>
      </c>
      <c r="G11" s="215" t="str" cm="1">
        <f t="array" ref="G11">IFERROR(IF($F11&lt;&gt;"",_xlfn.IFS($F$1="LM7 31 ClPRODUCT4 ms","LM7",$F$1="LMS1 31 ClPRODUCT4 ms","CV",$F$1="LMS2 31 ClPRODUCT4 ms","CL",$F$1="LMS5 31 ClPRODUCT4 ms","JZ",$F$1="LMS8 31 ClPRODUCT4 ms","DL",$F$1="LMS6 31 ClPRODUCT4 ms","MD",TRUE, ""),IF(AND($E$1="GENINTEGRATION 22 Attributes",$E11&lt;&gt;""),"22","")),"")</f>
        <v>CV</v>
      </c>
      <c r="H11" s="21" t="s">
        <v>91</v>
      </c>
      <c r="I11" s="21" t="s">
        <v>660</v>
      </c>
      <c r="J11" s="229" t="s">
        <v>48</v>
      </c>
      <c r="K11" s="229" t="s">
        <v>48</v>
      </c>
      <c r="L11" s="229" t="s">
        <v>48</v>
      </c>
      <c r="M11" s="229" t="s">
        <v>48</v>
      </c>
      <c r="N11" s="229" t="s">
        <v>48</v>
      </c>
      <c r="O11" s="229" t="s">
        <v>48</v>
      </c>
      <c r="P11" s="230" t="s">
        <v>91</v>
      </c>
      <c r="Q11" s="222" t="str">
        <f t="shared" si="1"/>
        <v>https://{domPRODUCT4 n}/{clPRODUCT4 mDemoData2h}</v>
      </c>
      <c r="R11" s="230" t="str">
        <f t="shared" si="2"/>
        <v>ext</v>
      </c>
      <c r="S11" s="222" t="str">
        <f t="shared" si="3"/>
        <v>https://{domPRODUCT4 n}/{clPRODUCT4 mDemoData2h}</v>
      </c>
      <c r="T11" s="230" t="str">
        <f t="shared" si="4"/>
        <v>ext</v>
      </c>
      <c r="U11" s="222" t="str">
        <f t="shared" si="5"/>
        <v>https://{domPRODUCT4 n}/{clPRODUCT4 mDemoData2h}</v>
      </c>
      <c r="V11" s="230" t="str">
        <f t="shared" si="6"/>
        <v>ext</v>
      </c>
      <c r="W11" s="222" t="str">
        <f t="shared" si="7"/>
        <v>https://{domPRODUCT4 n}/{clPRODUCT4 mDemoData2h}</v>
      </c>
      <c r="X11" s="230" t="str">
        <f t="shared" si="8"/>
        <v>ext</v>
      </c>
      <c r="Y11" s="222" t="str">
        <f t="shared" si="9"/>
        <v>https://{domPRODUCT4 n}/{clPRODUCT4 mDemoData2h}</v>
      </c>
      <c r="Z11" s="230" t="str">
        <f t="shared" si="10"/>
        <v>ext</v>
      </c>
      <c r="AA11" s="222" t="str">
        <f t="shared" si="11"/>
        <v>https://{domPRODUCT4 n}/{clPRODUCT4 mDemoData2h}</v>
      </c>
      <c r="AC11" s="214" t="s">
        <v>84</v>
      </c>
      <c r="AD11" s="214"/>
    </row>
    <row r="12" spans="1:30" ht="20.100000000000001" customHeight="1" x14ac:dyDescent="0.55000000000000004">
      <c r="E12" s="217" t="str" cm="1">
        <f t="array" ref="E12">IFERROR(_xlfn.IFS($E$1="GENINTEGRATION 22 Parameters",(_xlfn.IFS($F$1=$Q$1,INDEX($P$2:$P$100,MATCH(0,INDEX(COUNTIF($E$1:$E11,$P$2:$P$100)+(COUNTIF($P$2:$P$100,$P$2:$P$100)&lt;&gt;1),0,0),0)),$F$1=$S$1,INDEX($R$2:$R$100,MATCH(0,INDEX(COUNTIF($E$1:$E11,$R$2:$R$100)+(COUNTIF($R$2:$R$100,$R$2:$R$100)&lt;&gt;1),0,0),0)),$F$1=$U$1,INDEX($T$2:$T$100,MATCH(0,INDEX(COUNTIF($E$1:$E11,$T$2:$T$100)+(COUNTIF($T$2:$T$100,$T$2:$T$100)&lt;&gt;1),0,0),0)),$F$1=$W$1,INDEX($V$2:$V$100,MATCH(0,INDEX(COUNTIF($E$1:$E11,$V$2:$V$100)+(COUNTIF($V$2:$V$100,$V$2:$V$100)&lt;&gt;1),0,0),0)),$F$1=$Y$1,INDEX($X$2:$X$100,MATCH(0,INDEX(COUNTIF($E$1:$E11,$X$2:$X$100)+(COUNTIF($X$2:$X$100,$X$2:$X$100)&lt;&gt;1),0,0),0)),$F$1=$AA$1,INDEX($Z$2:$Z$100,MATCH(0,INDEX(COUNTIF($E$1:$E11,$Z$2:$Z$100)+(COUNTIF($Z$2:$Z$100,$Z$2:$Z$100)&lt;&gt;1),0,0),0)),TRUE,"")),$E$1="GENINTEGRATION 22 Attributes",INDEX($H$2:$H$100,MATCH(0,INDEX(COUNTIF($E$1:$E11,$H$2:$H$100)+(COUNTIF($H$2:$H$100,$H$2:$H$100)&lt;&gt;1),0,0),0)),TRUE,""),"")</f>
        <v>launch_presentation_css_url</v>
      </c>
      <c r="F12" s="213" t="str" cm="1">
        <f t="array" ref="F12">IFERROR(_xlfn.IFS($F$1=$Q$1,_xlfn.XLOOKUP($E12,$P$2:$P$100,Q$2:Q$100)&amp;"",$F$1=$S$1,_xlfn.XLOOKUP($E12,$R$2:$R$100,$S$2:$S$100)&amp;"",$F$1=$Y$1,_xlfn.XLOOKUP($E12,$X$2:$X$100,$Y$2:$Y$100)&amp;"",$F$1=$U$1,_xlfn.XLOOKUP($E12,$T$2:$T$100,$U$2:$U$100)&amp;"",$F$1=$W$1,_xlfn.XLOOKUP($E12,$V$2:$V$100,$W$2:$W$100)&amp;"",$F$1=$AA$1,_xlfn.XLOOKUP($E12,$Z$2:$Z$100,$AA$2:$AA$100)&amp;"",TRUE, ""),"")</f>
        <v>Not Supported in GENINTEGRATION 31</v>
      </c>
      <c r="G12" s="215" t="str" cm="1">
        <f t="array" ref="G12">IFERROR(IF($F12&lt;&gt;"",_xlfn.IFS($F$1="LM7 31 ClPRODUCT4 ms","LM7",$F$1="LMS1 31 ClPRODUCT4 ms","CV",$F$1="LMS2 31 ClPRODUCT4 ms","CL",$F$1="LMS5 31 ClPRODUCT4 ms","JZ",$F$1="LMS8 31 ClPRODUCT4 ms","DL",$F$1="LMS6 31 ClPRODUCT4 ms","MD",TRUE, ""),IF(AND($E$1="GENINTEGRATION 22 Attributes",$E12&lt;&gt;""),"22","")),"")</f>
        <v>CV</v>
      </c>
      <c r="H12" s="21" t="s">
        <v>92</v>
      </c>
      <c r="I12" s="21" t="s">
        <v>1002</v>
      </c>
      <c r="J12" s="229" t="s">
        <v>42</v>
      </c>
      <c r="K12" s="229" t="s">
        <v>42</v>
      </c>
      <c r="L12" s="229" t="s">
        <v>42</v>
      </c>
      <c r="M12" s="229" t="s">
        <v>48</v>
      </c>
      <c r="N12" s="229" t="s">
        <v>42</v>
      </c>
      <c r="O12" s="229" t="s">
        <v>42</v>
      </c>
      <c r="P12" s="230" t="str">
        <f t="shared" ref="P12:P43" si="12">IF(AND($H12&lt;&gt;"",Q12&lt;&gt;""),$H12,"")</f>
        <v/>
      </c>
      <c r="Q12" s="222" t="str">
        <f t="shared" si="1"/>
        <v/>
      </c>
      <c r="R12" s="230" t="str">
        <f t="shared" si="2"/>
        <v/>
      </c>
      <c r="S12" s="222" t="str">
        <f t="shared" si="3"/>
        <v/>
      </c>
      <c r="T12" s="230" t="str">
        <f t="shared" si="4"/>
        <v/>
      </c>
      <c r="U12" s="222" t="str">
        <f t="shared" si="5"/>
        <v/>
      </c>
      <c r="V12" s="230" t="str">
        <f t="shared" si="6"/>
        <v>ext_user_username</v>
      </c>
      <c r="W12" s="222" t="str">
        <f t="shared" si="7"/>
        <v>https://purl.demodata7.org/spec/GENINTEGRATION/clPRODUCT4 m/lis|person_Type2</v>
      </c>
      <c r="X12" s="230" t="str">
        <f t="shared" si="8"/>
        <v/>
      </c>
      <c r="Y12" s="222" t="str">
        <f t="shared" si="9"/>
        <v/>
      </c>
      <c r="Z12" s="230" t="str">
        <f t="shared" si="10"/>
        <v/>
      </c>
      <c r="AA12" s="222" t="str">
        <f t="shared" si="11"/>
        <v/>
      </c>
      <c r="AC12" s="123" t="s">
        <v>86</v>
      </c>
      <c r="AD12" s="162" t="s">
        <v>772</v>
      </c>
    </row>
    <row r="13" spans="1:30" ht="20.100000000000001" customHeight="1" x14ac:dyDescent="0.55000000000000004">
      <c r="A13" s="807" t="str" cm="1">
        <f t="array" ref="A13">IF('Program Config'!$C$14&lt;&gt;"",IF(AND('Program Config'!$C$14&lt;&gt;"LMS3",'Program Config'!$C$14&lt;&gt;"LMS4",'Program Config'!$C$14&lt;&gt;"LMS11",'Program Config'!$C$14&lt;&gt;"LMS10"),_xlfn.IFS('Program Config'!$C$14="LMS1 - GENINTEGRATION 31 - All Types of Placement",$AC$10,'Program Config'!$C$14="LMS1 - GENINTEGRATION 31 Link &amp; Course NAV",$AC$10,'Program Config'!$C$14="LMS8 - GENINTEGRATION 31",$AC$10,'Program Config'!$C$14="LMS5 - GENINTEGRATION 31",$AC$10,'Program Config'!$C$14="LMS2 - GENINTEGRATION 31",$AC$10,'Program Config'!$C$14="LM7 - GENINTEGRATION 31",$AC$10,'Program Config'!$C$14="LMS6 - GENINTEGRATION 31",$AC$10,TRUE,$AC$1),""),"")</f>
        <v>Common Custom Parameters for GENINTEGRATION 31</v>
      </c>
      <c r="B13" s="807"/>
      <c r="C13" s="807"/>
      <c r="E13" s="217" t="str" cm="1">
        <f t="array" ref="E13">IFERROR(_xlfn.IFS($E$1="GENINTEGRATION 22 Parameters",(_xlfn.IFS($F$1=$Q$1,INDEX($P$2:$P$100,MATCH(0,INDEX(COUNTIF($E$1:$E12,$P$2:$P$100)+(COUNTIF($P$2:$P$100,$P$2:$P$100)&lt;&gt;1),0,0),0)),$F$1=$S$1,INDEX($R$2:$R$100,MATCH(0,INDEX(COUNTIF($E$1:$E12,$R$2:$R$100)+(COUNTIF($R$2:$R$100,$R$2:$R$100)&lt;&gt;1),0,0),0)),$F$1=$U$1,INDEX($T$2:$T$100,MATCH(0,INDEX(COUNTIF($E$1:$E12,$T$2:$T$100)+(COUNTIF($T$2:$T$100,$T$2:$T$100)&lt;&gt;1),0,0),0)),$F$1=$W$1,INDEX($V$2:$V$100,MATCH(0,INDEX(COUNTIF($E$1:$E12,$V$2:$V$100)+(COUNTIF($V$2:$V$100,$V$2:$V$100)&lt;&gt;1),0,0),0)),$F$1=$Y$1,INDEX($X$2:$X$100,MATCH(0,INDEX(COUNTIF($E$1:$E12,$X$2:$X$100)+(COUNTIF($X$2:$X$100,$X$2:$X$100)&lt;&gt;1),0,0),0)),$F$1=$AA$1,INDEX($Z$2:$Z$100,MATCH(0,INDEX(COUNTIF($E$1:$E12,$Z$2:$Z$100)+(COUNTIF($Z$2:$Z$100,$Z$2:$Z$100)&lt;&gt;1),0,0),0)),TRUE,"")),$E$1="GENINTEGRATION 22 Attributes",INDEX($H$2:$H$100,MATCH(0,INDEX(COUNTIF($E$1:$E12,$H$2:$H$100)+(COUNTIF($H$2:$H$100,$H$2:$H$100)&lt;&gt;1),0,0),0)),TRUE,""),"")</f>
        <v>launch_presentation_document_target</v>
      </c>
      <c r="F13" s="213" t="str" cm="1">
        <f t="array" ref="F13">IFERROR(_xlfn.IFS($F$1=$Q$1,_xlfn.XLOOKUP($E13,$P$2:$P$100,Q$2:Q$100)&amp;"",$F$1=$S$1,_xlfn.XLOOKUP($E13,$R$2:$R$100,$S$2:$S$100)&amp;"",$F$1=$Y$1,_xlfn.XLOOKUP($E13,$X$2:$X$100,$Y$2:$Y$100)&amp;"",$F$1=$U$1,_xlfn.XLOOKUP($E13,$T$2:$T$100,$U$2:$U$100)&amp;"",$F$1=$W$1,_xlfn.XLOOKUP($E13,$V$2:$V$100,$W$2:$W$100)&amp;"",$F$1=$AA$1,_xlfn.XLOOKUP($E13,$Z$2:$Z$100,$AA$2:$AA$100)&amp;"",TRUE, ""),"")</f>
        <v>https://purl.demodata7.org/spec/GENINTEGRATION/clPRODUCT4 m/launch_presentation|document_target</v>
      </c>
      <c r="G13" s="215" t="str" cm="1">
        <f t="array" ref="G13">IFERROR(IF($F13&lt;&gt;"",_xlfn.IFS($F$1="LM7 31 ClPRODUCT4 ms","LM7",$F$1="LMS1 31 ClPRODUCT4 ms","CV",$F$1="LMS2 31 ClPRODUCT4 ms","CL",$F$1="LMS5 31 ClPRODUCT4 ms","JZ",$F$1="LMS8 31 ClPRODUCT4 ms","DL",$F$1="LMS6 31 ClPRODUCT4 ms","MD",TRUE, ""),IF(AND($E$1="GENINTEGRATION 22 Attributes",$E13&lt;&gt;""),"22","")),"")</f>
        <v>CV</v>
      </c>
      <c r="H13" s="21" t="s">
        <v>93</v>
      </c>
      <c r="I13" s="21" t="s">
        <v>849</v>
      </c>
      <c r="J13" s="229" t="s">
        <v>48</v>
      </c>
      <c r="K13" s="229" t="s">
        <v>48</v>
      </c>
      <c r="L13" s="229" t="s">
        <v>48</v>
      </c>
      <c r="M13" s="229" t="s">
        <v>48</v>
      </c>
      <c r="N13" s="229" t="s">
        <v>48</v>
      </c>
      <c r="O13" s="229" t="s">
        <v>48</v>
      </c>
      <c r="P13" s="230" t="str">
        <f t="shared" si="12"/>
        <v>launch_presentation_css_url</v>
      </c>
      <c r="Q13" s="222" t="str">
        <f t="shared" si="1"/>
        <v>Not Supported in GENINTEGRATION 31</v>
      </c>
      <c r="R13" s="230" t="str">
        <f t="shared" si="2"/>
        <v>launch_presentation_css_url</v>
      </c>
      <c r="S13" s="222" t="str">
        <f t="shared" si="3"/>
        <v>Not Supported in GENINTEGRATION 31</v>
      </c>
      <c r="T13" s="230" t="str">
        <f t="shared" si="4"/>
        <v>launch_presentation_css_url</v>
      </c>
      <c r="U13" s="222" t="str">
        <f t="shared" si="5"/>
        <v>Not Supported in GENINTEGRATION 31</v>
      </c>
      <c r="V13" s="230" t="str">
        <f t="shared" si="6"/>
        <v>launch_presentation_css_url</v>
      </c>
      <c r="W13" s="222" t="str">
        <f t="shared" si="7"/>
        <v>Not Supported in GENINTEGRATION 31</v>
      </c>
      <c r="X13" s="230" t="str">
        <f t="shared" si="8"/>
        <v>launch_presentation_css_url</v>
      </c>
      <c r="Y13" s="222" t="str">
        <f t="shared" si="9"/>
        <v>Not Supported in GENINTEGRATION 31</v>
      </c>
      <c r="Z13" s="230" t="str">
        <f t="shared" si="10"/>
        <v>launch_presentation_css_url</v>
      </c>
      <c r="AA13" s="222" t="str">
        <f t="shared" si="11"/>
        <v>Not Supported in GENINTEGRATION 31</v>
      </c>
      <c r="AC13" s="123" t="s">
        <v>88</v>
      </c>
      <c r="AD13" s="162" t="s">
        <v>770</v>
      </c>
    </row>
    <row r="14" spans="1:30" ht="20.100000000000001" customHeight="1" x14ac:dyDescent="0.55000000000000004">
      <c r="A14" s="804" t="str" cm="1">
        <f t="array" ref="A14">IFERROR(_xlfn.IFS($A$13=$AC$1,$AC2,$A$13=$AC$10,$AC11,TRUE,""),"")</f>
        <v>Copy Context Title to Context ID</v>
      </c>
      <c r="B14" s="804"/>
      <c r="C14" s="804"/>
      <c r="E14" s="217" t="str" cm="1">
        <f t="array" ref="E14">IFERROR(_xlfn.IFS($E$1="GENINTEGRATION 22 Parameters",(_xlfn.IFS($F$1=$Q$1,INDEX($P$2:$P$100,MATCH(0,INDEX(COUNTIF($E$1:$E13,$P$2:$P$100)+(COUNTIF($P$2:$P$100,$P$2:$P$100)&lt;&gt;1),0,0),0)),$F$1=$S$1,INDEX($R$2:$R$100,MATCH(0,INDEX(COUNTIF($E$1:$E13,$R$2:$R$100)+(COUNTIF($R$2:$R$100,$R$2:$R$100)&lt;&gt;1),0,0),0)),$F$1=$U$1,INDEX($T$2:$T$100,MATCH(0,INDEX(COUNTIF($E$1:$E13,$T$2:$T$100)+(COUNTIF($T$2:$T$100,$T$2:$T$100)&lt;&gt;1),0,0),0)),$F$1=$W$1,INDEX($V$2:$V$100,MATCH(0,INDEX(COUNTIF($E$1:$E13,$V$2:$V$100)+(COUNTIF($V$2:$V$100,$V$2:$V$100)&lt;&gt;1),0,0),0)),$F$1=$Y$1,INDEX($X$2:$X$100,MATCH(0,INDEX(COUNTIF($E$1:$E13,$X$2:$X$100)+(COUNTIF($X$2:$X$100,$X$2:$X$100)&lt;&gt;1),0,0),0)),$F$1=$AA$1,INDEX($Z$2:$Z$100,MATCH(0,INDEX(COUNTIF($E$1:$E13,$Z$2:$Z$100)+(COUNTIF($Z$2:$Z$100,$Z$2:$Z$100)&lt;&gt;1),0,0),0)),TRUE,"")),$E$1="GENINTEGRATION 22 Attributes",INDEX($H$2:$H$100,MATCH(0,INDEX(COUNTIF($E$1:$E13,$H$2:$H$100)+(COUNTIF($H$2:$H$100,$H$2:$H$100)&lt;&gt;1),0,0),0)),TRUE,""),"")</f>
        <v>launch_presentation_height</v>
      </c>
      <c r="F14" s="213" t="str" cm="1">
        <f t="array" ref="F14">IFERROR(_xlfn.IFS($F$1=$Q$1,_xlfn.XLOOKUP($E14,$P$2:$P$100,Q$2:Q$100)&amp;"",$F$1=$S$1,_xlfn.XLOOKUP($E14,$R$2:$R$100,$S$2:$S$100)&amp;"",$F$1=$Y$1,_xlfn.XLOOKUP($E14,$X$2:$X$100,$Y$2:$Y$100)&amp;"",$F$1=$U$1,_xlfn.XLOOKUP($E14,$T$2:$T$100,$U$2:$U$100)&amp;"",$F$1=$W$1,_xlfn.XLOOKUP($E14,$V$2:$V$100,$W$2:$W$100)&amp;"",$F$1=$AA$1,_xlfn.XLOOKUP($E14,$Z$2:$Z$100,$AA$2:$AA$100)&amp;"",TRUE, ""),"")</f>
        <v>https://purl.demodata7.org/spec/GENINTEGRATION/clPRODUCT4 m/launch_presentation|height</v>
      </c>
      <c r="G14" s="215" t="str" cm="1">
        <f t="array" ref="G14">IFERROR(IF($F14&lt;&gt;"",_xlfn.IFS($F$1="LM7 31 ClPRODUCT4 ms","LM7",$F$1="LMS1 31 ClPRODUCT4 ms","CV",$F$1="LMS2 31 ClPRODUCT4 ms","CL",$F$1="LMS5 31 ClPRODUCT4 ms","JZ",$F$1="LMS8 31 ClPRODUCT4 ms","DL",$F$1="LMS6 31 ClPRODUCT4 ms","MD",TRUE, ""),IF(AND($E$1="GENINTEGRATION 22 Attributes",$E14&lt;&gt;""),"22","")),"")</f>
        <v>CV</v>
      </c>
      <c r="H14" s="21" t="s">
        <v>94</v>
      </c>
      <c r="I14" s="21" t="s">
        <v>776</v>
      </c>
      <c r="J14" s="229" t="s">
        <v>48</v>
      </c>
      <c r="K14" s="229" t="s">
        <v>48</v>
      </c>
      <c r="L14" s="229" t="s">
        <v>48</v>
      </c>
      <c r="M14" s="229" t="s">
        <v>48</v>
      </c>
      <c r="N14" s="229" t="s">
        <v>48</v>
      </c>
      <c r="O14" s="229" t="s">
        <v>48</v>
      </c>
      <c r="P14" s="230" t="str">
        <f t="shared" si="12"/>
        <v>launch_presentation_document_target</v>
      </c>
      <c r="Q14" s="222" t="str">
        <f t="shared" si="1"/>
        <v>https://purl.demodata7.org/spec/GENINTEGRATION/clPRODUCT4 m/launch_presentation|document_target</v>
      </c>
      <c r="R14" s="230" t="str">
        <f t="shared" si="2"/>
        <v>launch_presentation_document_target</v>
      </c>
      <c r="S14" s="222" t="str">
        <f t="shared" si="3"/>
        <v>https://purl.demodata7.org/spec/GENINTEGRATION/clPRODUCT4 m/launch_presentation|document_target</v>
      </c>
      <c r="T14" s="230" t="str">
        <f t="shared" si="4"/>
        <v>launch_presentation_document_target</v>
      </c>
      <c r="U14" s="222" t="str">
        <f t="shared" si="5"/>
        <v>https://purl.demodata7.org/spec/GENINTEGRATION/clPRODUCT4 m/launch_presentation|document_target</v>
      </c>
      <c r="V14" s="230" t="str">
        <f t="shared" si="6"/>
        <v>launch_presentation_document_target</v>
      </c>
      <c r="W14" s="222" t="str">
        <f t="shared" si="7"/>
        <v>https://purl.demodata7.org/spec/GENINTEGRATION/clPRODUCT4 m/launch_presentation|document_target</v>
      </c>
      <c r="X14" s="230" t="str">
        <f t="shared" si="8"/>
        <v>launch_presentation_document_target</v>
      </c>
      <c r="Y14" s="222" t="str">
        <f t="shared" si="9"/>
        <v>https://purl.demodata7.org/spec/GENINTEGRATION/clPRODUCT4 m/launch_presentation|document_target</v>
      </c>
      <c r="Z14" s="230" t="str">
        <f t="shared" si="10"/>
        <v>launch_presentation_document_target</v>
      </c>
      <c r="AA14" s="222" t="str">
        <f t="shared" si="11"/>
        <v>https://purl.demodata7.org/spec/GENINTEGRATION/clPRODUCT4 m/launch_presentation|document_target</v>
      </c>
      <c r="AC14" s="214" t="s">
        <v>683</v>
      </c>
      <c r="AD14" s="214"/>
    </row>
    <row r="15" spans="1:30" ht="20.100000000000001" customHeight="1" x14ac:dyDescent="0.55000000000000004">
      <c r="A15" s="219" t="str" cm="1">
        <f t="array" ref="A15">IFERROR(_xlfn.IFS($A$13=$AC$1,$AC3,$A$13=$AC$10,$AC12,TRUE,""),"")</f>
        <v>From</v>
      </c>
      <c r="B15" s="808" t="str" cm="1">
        <f t="array" ref="B15">IFERROR(_xlfn.IFS($A$13=$AC$1,$AD3,$A$13=$AC$10,$AD12,TRUE,""),"")</f>
        <v>https://purl.demodata7.org/spec/GENINTEGRATION/clPRODUCT4 m/context|title</v>
      </c>
      <c r="C15" s="808"/>
      <c r="E15" s="217" t="str" cm="1">
        <f t="array" ref="E15">IFERROR(_xlfn.IFS($E$1="GENINTEGRATION 22 Parameters",(_xlfn.IFS($F$1=$Q$1,INDEX($P$2:$P$100,MATCH(0,INDEX(COUNTIF($E$1:$E14,$P$2:$P$100)+(COUNTIF($P$2:$P$100,$P$2:$P$100)&lt;&gt;1),0,0),0)),$F$1=$S$1,INDEX($R$2:$R$100,MATCH(0,INDEX(COUNTIF($E$1:$E14,$R$2:$R$100)+(COUNTIF($R$2:$R$100,$R$2:$R$100)&lt;&gt;1),0,0),0)),$F$1=$U$1,INDEX($T$2:$T$100,MATCH(0,INDEX(COUNTIF($E$1:$E14,$T$2:$T$100)+(COUNTIF($T$2:$T$100,$T$2:$T$100)&lt;&gt;1),0,0),0)),$F$1=$W$1,INDEX($V$2:$V$100,MATCH(0,INDEX(COUNTIF($E$1:$E14,$V$2:$V$100)+(COUNTIF($V$2:$V$100,$V$2:$V$100)&lt;&gt;1),0,0),0)),$F$1=$Y$1,INDEX($X$2:$X$100,MATCH(0,INDEX(COUNTIF($E$1:$E14,$X$2:$X$100)+(COUNTIF($X$2:$X$100,$X$2:$X$100)&lt;&gt;1),0,0),0)),$F$1=$AA$1,INDEX($Z$2:$Z$100,MATCH(0,INDEX(COUNTIF($E$1:$E14,$Z$2:$Z$100)+(COUNTIF($Z$2:$Z$100,$Z$2:$Z$100)&lt;&gt;1),0,0),0)),TRUE,"")),$E$1="GENINTEGRATION 22 Attributes",INDEX($H$2:$H$100,MATCH(0,INDEX(COUNTIF($E$1:$E14,$H$2:$H$100)+(COUNTIF($H$2:$H$100,$H$2:$H$100)&lt;&gt;1),0,0),0)),TRUE,""),"")</f>
        <v>launch_presentation_locale</v>
      </c>
      <c r="F15" s="213" t="str" cm="1">
        <f t="array" ref="F15">IFERROR(_xlfn.IFS($F$1=$Q$1,_xlfn.XLOOKUP($E15,$P$2:$P$100,Q$2:Q$100)&amp;"",$F$1=$S$1,_xlfn.XLOOKUP($E15,$R$2:$R$100,$S$2:$S$100)&amp;"",$F$1=$Y$1,_xlfn.XLOOKUP($E15,$X$2:$X$100,$Y$2:$Y$100)&amp;"",$F$1=$U$1,_xlfn.XLOOKUP($E15,$T$2:$T$100,$U$2:$U$100)&amp;"",$F$1=$W$1,_xlfn.XLOOKUP($E15,$V$2:$V$100,$W$2:$W$100)&amp;"",$F$1=$AA$1,_xlfn.XLOOKUP($E15,$Z$2:$Z$100,$AA$2:$AA$100)&amp;"",TRUE, ""),"")</f>
        <v>https://purl.demodata7.org/spec/GENINTEGRATION/clPRODUCT4 m/launch_presentation|locale</v>
      </c>
      <c r="G15" s="215" t="str" cm="1">
        <f t="array" ref="G15">IFERROR(IF($F15&lt;&gt;"",_xlfn.IFS($F$1="LM7 31 ClPRODUCT4 ms","LM7",$F$1="LMS1 31 ClPRODUCT4 ms","CV",$F$1="LMS2 31 ClPRODUCT4 ms","CL",$F$1="LMS5 31 ClPRODUCT4 ms","JZ",$F$1="LMS8 31 ClPRODUCT4 ms","DL",$F$1="LMS6 31 ClPRODUCT4 ms","MD",TRUE, ""),IF(AND($E$1="GENINTEGRATION 22 Attributes",$E15&lt;&gt;""),"22","")),"")</f>
        <v>CV</v>
      </c>
      <c r="H15" s="21" t="s">
        <v>95</v>
      </c>
      <c r="I15" s="21" t="s">
        <v>777</v>
      </c>
      <c r="J15" s="229" t="s">
        <v>48</v>
      </c>
      <c r="K15" s="229" t="s">
        <v>48</v>
      </c>
      <c r="L15" s="229" t="s">
        <v>48</v>
      </c>
      <c r="M15" s="229" t="s">
        <v>48</v>
      </c>
      <c r="N15" s="229" t="s">
        <v>48</v>
      </c>
      <c r="O15" s="229" t="s">
        <v>48</v>
      </c>
      <c r="P15" s="230" t="str">
        <f t="shared" si="12"/>
        <v>launch_presentation_height</v>
      </c>
      <c r="Q15" s="222" t="str">
        <f t="shared" si="1"/>
        <v>https://purl.demodata7.org/spec/GENINTEGRATION/clPRODUCT4 m/launch_presentation|height</v>
      </c>
      <c r="R15" s="230" t="str">
        <f t="shared" si="2"/>
        <v>launch_presentation_height</v>
      </c>
      <c r="S15" s="222" t="str">
        <f t="shared" si="3"/>
        <v>https://purl.demodata7.org/spec/GENINTEGRATION/clPRODUCT4 m/launch_presentation|height</v>
      </c>
      <c r="T15" s="230" t="str">
        <f t="shared" si="4"/>
        <v>launch_presentation_height</v>
      </c>
      <c r="U15" s="222" t="str">
        <f t="shared" si="5"/>
        <v>https://purl.demodata7.org/spec/GENINTEGRATION/clPRODUCT4 m/launch_presentation|height</v>
      </c>
      <c r="V15" s="230" t="str">
        <f t="shared" si="6"/>
        <v>launch_presentation_height</v>
      </c>
      <c r="W15" s="222" t="str">
        <f t="shared" si="7"/>
        <v>https://purl.demodata7.org/spec/GENINTEGRATION/clPRODUCT4 m/launch_presentation|height</v>
      </c>
      <c r="X15" s="230" t="str">
        <f t="shared" si="8"/>
        <v>launch_presentation_height</v>
      </c>
      <c r="Y15" s="222" t="str">
        <f t="shared" si="9"/>
        <v>https://purl.demodata7.org/spec/GENINTEGRATION/clPRODUCT4 m/launch_presentation|height</v>
      </c>
      <c r="Z15" s="230" t="str">
        <f t="shared" si="10"/>
        <v>launch_presentation_height</v>
      </c>
      <c r="AA15" s="222" t="str">
        <f t="shared" si="11"/>
        <v>https://purl.demodata7.org/spec/GENINTEGRATION/clPRODUCT4 m/launch_presentation|height</v>
      </c>
      <c r="AC15" s="123" t="s">
        <v>86</v>
      </c>
      <c r="AD15" s="162" t="s">
        <v>677</v>
      </c>
    </row>
    <row r="16" spans="1:30" ht="20.100000000000001" customHeight="1" x14ac:dyDescent="0.55000000000000004">
      <c r="A16" s="219" t="str" cm="1">
        <f t="array" ref="A16">IFERROR(_xlfn.IFS($A$13=$AC$1,$AC4,$A$13=$AC$10,$AC13,TRUE,""),"")</f>
        <v>To</v>
      </c>
      <c r="B16" s="808" t="str" cm="1">
        <f t="array" ref="B16">IFERROR(_xlfn.IFS($A$13=$AC$1,$AD4,$A$13=$AC$10,$AD13,TRUE,""),"")</f>
        <v>https://purl.demodata7.org/spec/GENINTEGRATION/clPRODUCT4 m/context|id</v>
      </c>
      <c r="C16" s="808"/>
      <c r="E16" s="217" t="str" cm="1">
        <f t="array" ref="E16">IFERROR(_xlfn.IFS($E$1="GENINTEGRATION 22 Parameters",(_xlfn.IFS($F$1=$Q$1,INDEX($P$2:$P$100,MATCH(0,INDEX(COUNTIF($E$1:$E15,$P$2:$P$100)+(COUNTIF($P$2:$P$100,$P$2:$P$100)&lt;&gt;1),0,0),0)),$F$1=$S$1,INDEX($R$2:$R$100,MATCH(0,INDEX(COUNTIF($E$1:$E15,$R$2:$R$100)+(COUNTIF($R$2:$R$100,$R$2:$R$100)&lt;&gt;1),0,0),0)),$F$1=$U$1,INDEX($T$2:$T$100,MATCH(0,INDEX(COUNTIF($E$1:$E15,$T$2:$T$100)+(COUNTIF($T$2:$T$100,$T$2:$T$100)&lt;&gt;1),0,0),0)),$F$1=$W$1,INDEX($V$2:$V$100,MATCH(0,INDEX(COUNTIF($E$1:$E15,$V$2:$V$100)+(COUNTIF($V$2:$V$100,$V$2:$V$100)&lt;&gt;1),0,0),0)),$F$1=$Y$1,INDEX($X$2:$X$100,MATCH(0,INDEX(COUNTIF($E$1:$E15,$X$2:$X$100)+(COUNTIF($X$2:$X$100,$X$2:$X$100)&lt;&gt;1),0,0),0)),$F$1=$AA$1,INDEX($Z$2:$Z$100,MATCH(0,INDEX(COUNTIF($E$1:$E15,$Z$2:$Z$100)+(COUNTIF($Z$2:$Z$100,$Z$2:$Z$100)&lt;&gt;1),0,0),0)),TRUE,"")),$E$1="GENINTEGRATION 22 Attributes",INDEX($H$2:$H$100,MATCH(0,INDEX(COUNTIF($E$1:$E15,$H$2:$H$100)+(COUNTIF($H$2:$H$100,$H$2:$H$100)&lt;&gt;1),0,0),0)),TRUE,""),"")</f>
        <v>launch_presentation_return_url</v>
      </c>
      <c r="F16" s="213" t="str" cm="1">
        <f t="array" ref="F16">IFERROR(_xlfn.IFS($F$1=$Q$1,_xlfn.XLOOKUP($E16,$P$2:$P$100,Q$2:Q$100)&amp;"",$F$1=$S$1,_xlfn.XLOOKUP($E16,$R$2:$R$100,$S$2:$S$100)&amp;"",$F$1=$Y$1,_xlfn.XLOOKUP($E16,$X$2:$X$100,$Y$2:$Y$100)&amp;"",$F$1=$U$1,_xlfn.XLOOKUP($E16,$T$2:$T$100,$U$2:$U$100)&amp;"",$F$1=$W$1,_xlfn.XLOOKUP($E16,$V$2:$V$100,$W$2:$W$100)&amp;"",$F$1=$AA$1,_xlfn.XLOOKUP($E16,$Z$2:$Z$100,$AA$2:$AA$100)&amp;"",TRUE, ""),"")</f>
        <v>https://purl.demodata7.org/spec/GENINTEGRATION/clPRODUCT4 m/launch_presentation|return_url</v>
      </c>
      <c r="G16" s="215" t="str" cm="1">
        <f t="array" ref="G16">IFERROR(IF($F16&lt;&gt;"",_xlfn.IFS($F$1="LM7 31 ClPRODUCT4 ms","LM7",$F$1="LMS1 31 ClPRODUCT4 ms","CV",$F$1="LMS2 31 ClPRODUCT4 ms","CL",$F$1="LMS5 31 ClPRODUCT4 ms","JZ",$F$1="LMS8 31 ClPRODUCT4 ms","DL",$F$1="LMS6 31 ClPRODUCT4 ms","MD",TRUE, ""),IF(AND($E$1="GENINTEGRATION 22 Attributes",$E16&lt;&gt;""),"22","")),"")</f>
        <v>CV</v>
      </c>
      <c r="H16" s="21" t="s">
        <v>96</v>
      </c>
      <c r="I16" s="21" t="s">
        <v>778</v>
      </c>
      <c r="J16" s="229" t="s">
        <v>48</v>
      </c>
      <c r="K16" s="229" t="s">
        <v>48</v>
      </c>
      <c r="L16" s="229" t="s">
        <v>48</v>
      </c>
      <c r="M16" s="229" t="s">
        <v>48</v>
      </c>
      <c r="N16" s="229" t="s">
        <v>48</v>
      </c>
      <c r="O16" s="229" t="s">
        <v>48</v>
      </c>
      <c r="P16" s="230" t="str">
        <f t="shared" si="12"/>
        <v>launch_presentation_locale</v>
      </c>
      <c r="Q16" s="222" t="str">
        <f t="shared" si="1"/>
        <v>https://purl.demodata7.org/spec/GENINTEGRATION/clPRODUCT4 m/launch_presentation|locale</v>
      </c>
      <c r="R16" s="230" t="str">
        <f t="shared" si="2"/>
        <v>launch_presentation_locale</v>
      </c>
      <c r="S16" s="222" t="str">
        <f t="shared" si="3"/>
        <v>https://purl.demodata7.org/spec/GENINTEGRATION/clPRODUCT4 m/launch_presentation|locale</v>
      </c>
      <c r="T16" s="230" t="str">
        <f t="shared" si="4"/>
        <v>launch_presentation_locale</v>
      </c>
      <c r="U16" s="222" t="str">
        <f t="shared" si="5"/>
        <v>https://purl.demodata7.org/spec/GENINTEGRATION/clPRODUCT4 m/launch_presentation|locale</v>
      </c>
      <c r="V16" s="230" t="str">
        <f t="shared" si="6"/>
        <v>launch_presentation_locale</v>
      </c>
      <c r="W16" s="222" t="str">
        <f t="shared" si="7"/>
        <v>https://purl.demodata7.org/spec/GENINTEGRATION/clPRODUCT4 m/launch_presentation|locale</v>
      </c>
      <c r="X16" s="230" t="str">
        <f t="shared" si="8"/>
        <v>launch_presentation_locale</v>
      </c>
      <c r="Y16" s="222" t="str">
        <f t="shared" si="9"/>
        <v>https://purl.demodata7.org/spec/GENINTEGRATION/clPRODUCT4 m/launch_presentation|locale</v>
      </c>
      <c r="Z16" s="230" t="str">
        <f t="shared" si="10"/>
        <v>launch_presentation_locale</v>
      </c>
      <c r="AA16" s="222" t="str">
        <f t="shared" si="11"/>
        <v>https://purl.demodata7.org/spec/GENINTEGRATION/clPRODUCT4 m/launch_presentation|locale</v>
      </c>
      <c r="AC16" s="123" t="s">
        <v>88</v>
      </c>
      <c r="AD16" s="162" t="s">
        <v>97</v>
      </c>
    </row>
    <row r="17" spans="1:30" ht="20.100000000000001" customHeight="1" x14ac:dyDescent="0.55000000000000004">
      <c r="A17" s="804" t="str" cm="1">
        <f t="array" ref="A17">IFERROR(_xlfn.IFS($A$13=$AC$1,$AC5,$A$13=$AC$10,$AC14,TRUE,""),"")</f>
        <v>Copy PRODCUT4 to Sub</v>
      </c>
      <c r="B17" s="804"/>
      <c r="C17" s="804"/>
      <c r="E17" s="217" t="str" cm="1">
        <f t="array" ref="E17">IFERROR(_xlfn.IFS($E$1="GENINTEGRATION 22 Parameters",(_xlfn.IFS($F$1=$Q$1,INDEX($P$2:$P$100,MATCH(0,INDEX(COUNTIF($E$1:$E16,$P$2:$P$100)+(COUNTIF($P$2:$P$100,$P$2:$P$100)&lt;&gt;1),0,0),0)),$F$1=$S$1,INDEX($R$2:$R$100,MATCH(0,INDEX(COUNTIF($E$1:$E16,$R$2:$R$100)+(COUNTIF($R$2:$R$100,$R$2:$R$100)&lt;&gt;1),0,0),0)),$F$1=$U$1,INDEX($T$2:$T$100,MATCH(0,INDEX(COUNTIF($E$1:$E16,$T$2:$T$100)+(COUNTIF($T$2:$T$100,$T$2:$T$100)&lt;&gt;1),0,0),0)),$F$1=$W$1,INDEX($V$2:$V$100,MATCH(0,INDEX(COUNTIF($E$1:$E16,$V$2:$V$100)+(COUNTIF($V$2:$V$100,$V$2:$V$100)&lt;&gt;1),0,0),0)),$F$1=$Y$1,INDEX($X$2:$X$100,MATCH(0,INDEX(COUNTIF($E$1:$E16,$X$2:$X$100)+(COUNTIF($X$2:$X$100,$X$2:$X$100)&lt;&gt;1),0,0),0)),$F$1=$AA$1,INDEX($Z$2:$Z$100,MATCH(0,INDEX(COUNTIF($E$1:$E16,$Z$2:$Z$100)+(COUNTIF($Z$2:$Z$100,$Z$2:$Z$100)&lt;&gt;1),0,0),0)),TRUE,"")),$E$1="GENINTEGRATION 22 Attributes",INDEX($H$2:$H$100,MATCH(0,INDEX(COUNTIF($E$1:$E16,$H$2:$H$100)+(COUNTIF($H$2:$H$100,$H$2:$H$100)&lt;&gt;1),0,0),0)),TRUE,""),"")</f>
        <v>launch_presentation_width</v>
      </c>
      <c r="F17" s="213" t="str" cm="1">
        <f t="array" ref="F17">IFERROR(_xlfn.IFS($F$1=$Q$1,_xlfn.XLOOKUP($E17,$P$2:$P$100,Q$2:Q$100)&amp;"",$F$1=$S$1,_xlfn.XLOOKUP($E17,$R$2:$R$100,$S$2:$S$100)&amp;"",$F$1=$Y$1,_xlfn.XLOOKUP($E17,$X$2:$X$100,$Y$2:$Y$100)&amp;"",$F$1=$U$1,_xlfn.XLOOKUP($E17,$T$2:$T$100,$U$2:$U$100)&amp;"",$F$1=$W$1,_xlfn.XLOOKUP($E17,$V$2:$V$100,$W$2:$W$100)&amp;"",$F$1=$AA$1,_xlfn.XLOOKUP($E17,$Z$2:$Z$100,$AA$2:$AA$100)&amp;"",TRUE, ""),"")</f>
        <v>https://purl.demodata7.org/spec/GENINTEGRATION/clPRODUCT4 m/launch_presentation|width</v>
      </c>
      <c r="G17" s="215" t="str" cm="1">
        <f t="array" ref="G17">IFERROR(IF($F17&lt;&gt;"",_xlfn.IFS($F$1="LM7 31 ClPRODUCT4 ms","LM7",$F$1="LMS1 31 ClPRODUCT4 ms","CV",$F$1="LMS2 31 ClPRODUCT4 ms","CL",$F$1="LMS5 31 ClPRODUCT4 ms","JZ",$F$1="LMS8 31 ClPRODUCT4 ms","DL",$F$1="LMS6 31 ClPRODUCT4 ms","MD",TRUE, ""),IF(AND($E$1="GENINTEGRATION 22 Attributes",$E17&lt;&gt;""),"22","")),"")</f>
        <v>CV</v>
      </c>
      <c r="H17" s="21" t="s">
        <v>98</v>
      </c>
      <c r="I17" s="21" t="s">
        <v>779</v>
      </c>
      <c r="J17" s="229" t="s">
        <v>48</v>
      </c>
      <c r="K17" s="229" t="s">
        <v>48</v>
      </c>
      <c r="L17" s="229" t="s">
        <v>48</v>
      </c>
      <c r="M17" s="229" t="s">
        <v>48</v>
      </c>
      <c r="N17" s="229" t="s">
        <v>48</v>
      </c>
      <c r="O17" s="229" t="s">
        <v>48</v>
      </c>
      <c r="P17" s="230" t="str">
        <f t="shared" si="12"/>
        <v>launch_presentation_return_url</v>
      </c>
      <c r="Q17" s="222" t="str">
        <f t="shared" si="1"/>
        <v>https://purl.demodata7.org/spec/GENINTEGRATION/clPRODUCT4 m/launch_presentation|return_url</v>
      </c>
      <c r="R17" s="230" t="str">
        <f t="shared" si="2"/>
        <v>launch_presentation_return_url</v>
      </c>
      <c r="S17" s="222" t="str">
        <f t="shared" si="3"/>
        <v>https://purl.demodata7.org/spec/GENINTEGRATION/clPRODUCT4 m/launch_presentation|return_url</v>
      </c>
      <c r="T17" s="230" t="str">
        <f t="shared" si="4"/>
        <v>launch_presentation_return_url</v>
      </c>
      <c r="U17" s="222" t="str">
        <f t="shared" si="5"/>
        <v>https://purl.demodata7.org/spec/GENINTEGRATION/clPRODUCT4 m/launch_presentation|return_url</v>
      </c>
      <c r="V17" s="230" t="str">
        <f t="shared" si="6"/>
        <v>launch_presentation_return_url</v>
      </c>
      <c r="W17" s="222" t="str">
        <f t="shared" si="7"/>
        <v>https://purl.demodata7.org/spec/GENINTEGRATION/clPRODUCT4 m/launch_presentation|return_url</v>
      </c>
      <c r="X17" s="230" t="str">
        <f t="shared" si="8"/>
        <v>launch_presentation_return_url</v>
      </c>
      <c r="Y17" s="222" t="str">
        <f t="shared" si="9"/>
        <v>https://purl.demodata7.org/spec/GENINTEGRATION/clPRODUCT4 m/launch_presentation|return_url</v>
      </c>
      <c r="Z17" s="230" t="str">
        <f t="shared" si="10"/>
        <v>launch_presentation_return_url</v>
      </c>
      <c r="AA17" s="222" t="str">
        <f t="shared" si="11"/>
        <v>https://purl.demodata7.org/spec/GENINTEGRATION/clPRODUCT4 m/launch_presentation|return_url</v>
      </c>
      <c r="AC17" s="214" t="s">
        <v>99</v>
      </c>
      <c r="AD17" s="214"/>
    </row>
    <row r="18" spans="1:30" ht="20.100000000000001" customHeight="1" x14ac:dyDescent="0.55000000000000004">
      <c r="A18" s="219" t="str" cm="1">
        <f t="array" ref="A18">IFERROR(_xlfn.IFS($A$13=$AC$1,$AC6,$A$13=$AC$10,$AC15,TRUE,""),"")</f>
        <v>From</v>
      </c>
      <c r="B18" s="803" t="str" cm="1">
        <f t="array" ref="B18">IFERROR(_xlfn.IFS($A$13=$AC$1,$AD6,$A$13=$AC$10,$AD15,TRUE,""),"")</f>
        <v>PRODCUT4</v>
      </c>
      <c r="C18" s="803"/>
      <c r="E18" s="217" t="str" cm="1">
        <f t="array" ref="E18">IFERROR(_xlfn.IFS($E$1="GENINTEGRATION 22 Parameters",(_xlfn.IFS($F$1=$Q$1,INDEX($P$2:$P$100,MATCH(0,INDEX(COUNTIF($E$1:$E17,$P$2:$P$100)+(COUNTIF($P$2:$P$100,$P$2:$P$100)&lt;&gt;1),0,0),0)),$F$1=$S$1,INDEX($R$2:$R$100,MATCH(0,INDEX(COUNTIF($E$1:$E17,$R$2:$R$100)+(COUNTIF($R$2:$R$100,$R$2:$R$100)&lt;&gt;1),0,0),0)),$F$1=$U$1,INDEX($T$2:$T$100,MATCH(0,INDEX(COUNTIF($E$1:$E17,$T$2:$T$100)+(COUNTIF($T$2:$T$100,$T$2:$T$100)&lt;&gt;1),0,0),0)),$F$1=$W$1,INDEX($V$2:$V$100,MATCH(0,INDEX(COUNTIF($E$1:$E17,$V$2:$V$100)+(COUNTIF($V$2:$V$100,$V$2:$V$100)&lt;&gt;1),0,0),0)),$F$1=$Y$1,INDEX($X$2:$X$100,MATCH(0,INDEX(COUNTIF($E$1:$E17,$X$2:$X$100)+(COUNTIF($X$2:$X$100,$X$2:$X$100)&lt;&gt;1),0,0),0)),$F$1=$AA$1,INDEX($Z$2:$Z$100,MATCH(0,INDEX(COUNTIF($E$1:$E17,$Z$2:$Z$100)+(COUNTIF($Z$2:$Z$100,$Z$2:$Z$100)&lt;&gt;1),0,0),0)),TRUE,"")),$E$1="GENINTEGRATION 22 Attributes",INDEX($H$2:$H$100,MATCH(0,INDEX(COUNTIF($E$1:$E17,$H$2:$H$100)+(COUNTIF($H$2:$H$100,$H$2:$H$100)&lt;&gt;1),0,0),0)),TRUE,""),"")</f>
        <v>lis_course_offering_Type2</v>
      </c>
      <c r="F18" s="213" t="str" cm="1">
        <f t="array" ref="F18">IFERROR(_xlfn.IFS($F$1=$Q$1,_xlfn.XLOOKUP($E18,$P$2:$P$100,Q$2:Q$100)&amp;"",$F$1=$S$1,_xlfn.XLOOKUP($E18,$R$2:$R$100,$S$2:$S$100)&amp;"",$F$1=$Y$1,_xlfn.XLOOKUP($E18,$X$2:$X$100,$Y$2:$Y$100)&amp;"",$F$1=$U$1,_xlfn.XLOOKUP($E18,$T$2:$T$100,$U$2:$U$100)&amp;"",$F$1=$W$1,_xlfn.XLOOKUP($E18,$V$2:$V$100,$W$2:$W$100)&amp;"",$F$1=$AA$1,_xlfn.XLOOKUP($E18,$Z$2:$Z$100,$AA$2:$AA$100)&amp;"",TRUE, ""),"")</f>
        <v>https://purl.demodata7.org/spec/GENINTEGRATION/clPRODUCT4 m/lis|course_offering_Type2</v>
      </c>
      <c r="G18" s="215" t="str" cm="1">
        <f t="array" ref="G18">IFERROR(IF($F18&lt;&gt;"",_xlfn.IFS($F$1="LM7 31 ClPRODUCT4 ms","LM7",$F$1="LMS1 31 ClPRODUCT4 ms","CV",$F$1="LMS2 31 ClPRODUCT4 ms","CL",$F$1="LMS5 31 ClPRODUCT4 ms","JZ",$F$1="LMS8 31 ClPRODUCT4 ms","DL",$F$1="LMS6 31 ClPRODUCT4 ms","MD",TRUE, ""),IF(AND($E$1="GENINTEGRATION 22 Attributes",$E18&lt;&gt;""),"22","")),"")</f>
        <v>CV</v>
      </c>
      <c r="H18" s="21" t="s">
        <v>100</v>
      </c>
      <c r="I18" s="21" t="s">
        <v>780</v>
      </c>
      <c r="J18" s="229" t="s">
        <v>48</v>
      </c>
      <c r="K18" s="229" t="s">
        <v>48</v>
      </c>
      <c r="L18" s="229" t="s">
        <v>48</v>
      </c>
      <c r="M18" s="229" t="s">
        <v>48</v>
      </c>
      <c r="N18" s="229" t="s">
        <v>48</v>
      </c>
      <c r="O18" s="229" t="s">
        <v>48</v>
      </c>
      <c r="P18" s="230" t="str">
        <f t="shared" si="12"/>
        <v>launch_presentation_width</v>
      </c>
      <c r="Q18" s="222" t="str">
        <f t="shared" si="1"/>
        <v>https://purl.demodata7.org/spec/GENINTEGRATION/clPRODUCT4 m/launch_presentation|width</v>
      </c>
      <c r="R18" s="230" t="str">
        <f t="shared" si="2"/>
        <v>launch_presentation_width</v>
      </c>
      <c r="S18" s="222" t="str">
        <f t="shared" si="3"/>
        <v>https://purl.demodata7.org/spec/GENINTEGRATION/clPRODUCT4 m/launch_presentation|width</v>
      </c>
      <c r="T18" s="230" t="str">
        <f t="shared" si="4"/>
        <v>launch_presentation_width</v>
      </c>
      <c r="U18" s="222" t="str">
        <f t="shared" si="5"/>
        <v>https://purl.demodata7.org/spec/GENINTEGRATION/clPRODUCT4 m/launch_presentation|width</v>
      </c>
      <c r="V18" s="230" t="str">
        <f t="shared" si="6"/>
        <v>launch_presentation_width</v>
      </c>
      <c r="W18" s="222" t="str">
        <f t="shared" si="7"/>
        <v>https://purl.demodata7.org/spec/GENINTEGRATION/clPRODUCT4 m/launch_presentation|width</v>
      </c>
      <c r="X18" s="230" t="str">
        <f t="shared" si="8"/>
        <v>launch_presentation_width</v>
      </c>
      <c r="Y18" s="222" t="str">
        <f t="shared" si="9"/>
        <v>https://purl.demodata7.org/spec/GENINTEGRATION/clPRODUCT4 m/launch_presentation|width</v>
      </c>
      <c r="Z18" s="230" t="str">
        <f t="shared" si="10"/>
        <v>launch_presentation_width</v>
      </c>
      <c r="AA18" s="222" t="str">
        <f t="shared" si="11"/>
        <v>https://purl.demodata7.org/spec/GENINTEGRATION/clPRODUCT4 m/launch_presentation|width</v>
      </c>
      <c r="AC18" s="123" t="s">
        <v>86</v>
      </c>
      <c r="AD18" s="162" t="s">
        <v>1002</v>
      </c>
    </row>
    <row r="19" spans="1:30" ht="20.100000000000001" customHeight="1" x14ac:dyDescent="0.55000000000000004">
      <c r="A19" s="219" t="str" cm="1">
        <f t="array" ref="A19">IFERROR(_xlfn.IFS($A$13=$AC$1,$AC7,$A$13=$AC$10,$AC16,TRUE,""),"")</f>
        <v>To</v>
      </c>
      <c r="B19" s="803" t="str" cm="1">
        <f t="array" ref="B19">IFERROR(_xlfn.IFS($A$13=$AC$1,$AD7,$A$13=$AC$10,$AD16,TRUE,""),"")</f>
        <v>sub</v>
      </c>
      <c r="C19" s="803"/>
      <c r="E19" s="217" t="str" cm="1">
        <f t="array" ref="E19">IFERROR(_xlfn.IFS($E$1="GENINTEGRATION 22 Parameters",(_xlfn.IFS($F$1=$Q$1,INDEX($P$2:$P$100,MATCH(0,INDEX(COUNTIF($E$1:$E18,$P$2:$P$100)+(COUNTIF($P$2:$P$100,$P$2:$P$100)&lt;&gt;1),0,0),0)),$F$1=$S$1,INDEX($R$2:$R$100,MATCH(0,INDEX(COUNTIF($E$1:$E18,$R$2:$R$100)+(COUNTIF($R$2:$R$100,$R$2:$R$100)&lt;&gt;1),0,0),0)),$F$1=$U$1,INDEX($T$2:$T$100,MATCH(0,INDEX(COUNTIF($E$1:$E18,$T$2:$T$100)+(COUNTIF($T$2:$T$100,$T$2:$T$100)&lt;&gt;1),0,0),0)),$F$1=$W$1,INDEX($V$2:$V$100,MATCH(0,INDEX(COUNTIF($E$1:$E18,$V$2:$V$100)+(COUNTIF($V$2:$V$100,$V$2:$V$100)&lt;&gt;1),0,0),0)),$F$1=$Y$1,INDEX($X$2:$X$100,MATCH(0,INDEX(COUNTIF($E$1:$E18,$X$2:$X$100)+(COUNTIF($X$2:$X$100,$X$2:$X$100)&lt;&gt;1),0,0),0)),$F$1=$AA$1,INDEX($Z$2:$Z$100,MATCH(0,INDEX(COUNTIF($E$1:$E18,$Z$2:$Z$100)+(COUNTIF($Z$2:$Z$100,$Z$2:$Z$100)&lt;&gt;1),0,0),0)),TRUE,"")),$E$1="GENINTEGRATION 22 Attributes",INDEX($H$2:$H$100,MATCH(0,INDEX(COUNTIF($E$1:$E18,$H$2:$H$100)+(COUNTIF($H$2:$H$100,$H$2:$H$100)&lt;&gt;1),0,0),0)),TRUE,""),"")</f>
        <v>lis_course_section_Type2</v>
      </c>
      <c r="F19" s="213" t="str" cm="1">
        <f t="array" ref="F19">IFERROR(_xlfn.IFS($F$1=$Q$1,_xlfn.XLOOKUP($E19,$P$2:$P$100,Q$2:Q$100)&amp;"",$F$1=$S$1,_xlfn.XLOOKUP($E19,$R$2:$R$100,$S$2:$S$100)&amp;"",$F$1=$Y$1,_xlfn.XLOOKUP($E19,$X$2:$X$100,$Y$2:$Y$100)&amp;"",$F$1=$U$1,_xlfn.XLOOKUP($E19,$T$2:$T$100,$U$2:$U$100)&amp;"",$F$1=$W$1,_xlfn.XLOOKUP($E19,$V$2:$V$100,$W$2:$W$100)&amp;"",$F$1=$AA$1,_xlfn.XLOOKUP($E19,$Z$2:$Z$100,$AA$2:$AA$100)&amp;"",TRUE, ""),"")</f>
        <v>https://purl.demodata7.org/spec/GENINTEGRATION/clPRODUCT4 m/lis|course_section_Type2</v>
      </c>
      <c r="G19" s="215" t="str" cm="1">
        <f t="array" ref="G19">IFERROR(IF($F19&lt;&gt;"",_xlfn.IFS($F$1="LM7 31 ClPRODUCT4 ms","LM7",$F$1="LMS1 31 ClPRODUCT4 ms","CV",$F$1="LMS2 31 ClPRODUCT4 ms","CL",$F$1="LMS5 31 ClPRODUCT4 ms","JZ",$F$1="LMS8 31 ClPRODUCT4 ms","DL",$F$1="LMS6 31 ClPRODUCT4 ms","MD",TRUE, ""),IF(AND($E$1="GENINTEGRATION 22 Attributes",$E19&lt;&gt;""),"22","")),"")</f>
        <v>CV</v>
      </c>
      <c r="H19" s="21" t="s">
        <v>1003</v>
      </c>
      <c r="I19" s="21" t="s">
        <v>1004</v>
      </c>
      <c r="J19" s="229" t="s">
        <v>48</v>
      </c>
      <c r="K19" s="229" t="s">
        <v>48</v>
      </c>
      <c r="L19" s="229" t="s">
        <v>48</v>
      </c>
      <c r="M19" s="229" t="s">
        <v>48</v>
      </c>
      <c r="N19" s="229" t="s">
        <v>48</v>
      </c>
      <c r="O19" s="229" t="s">
        <v>48</v>
      </c>
      <c r="P19" s="230" t="str">
        <f t="shared" si="12"/>
        <v>lis_course_offering_Type2</v>
      </c>
      <c r="Q19" s="222" t="str">
        <f t="shared" si="1"/>
        <v>https://purl.demodata7.org/spec/GENINTEGRATION/clPRODUCT4 m/lis|course_offering_Type2</v>
      </c>
      <c r="R19" s="230" t="str">
        <f t="shared" si="2"/>
        <v>lis_course_offering_Type2</v>
      </c>
      <c r="S19" s="222" t="str">
        <f t="shared" si="3"/>
        <v>https://purl.demodata7.org/spec/GENINTEGRATION/clPRODUCT4 m/lis|course_offering_Type2</v>
      </c>
      <c r="T19" s="230" t="str">
        <f t="shared" si="4"/>
        <v>lis_course_offering_Type2</v>
      </c>
      <c r="U19" s="222" t="str">
        <f t="shared" si="5"/>
        <v>https://purl.demodata7.org/spec/GENINTEGRATION/clPRODUCT4 m/lis|course_offering_Type2</v>
      </c>
      <c r="V19" s="230" t="str">
        <f t="shared" si="6"/>
        <v>lis_course_offering_Type2</v>
      </c>
      <c r="W19" s="222" t="str">
        <f t="shared" si="7"/>
        <v>https://purl.demodata7.org/spec/GENINTEGRATION/clPRODUCT4 m/lis|course_offering_Type2</v>
      </c>
      <c r="X19" s="230" t="str">
        <f t="shared" si="8"/>
        <v>lis_course_offering_Type2</v>
      </c>
      <c r="Y19" s="222" t="str">
        <f t="shared" si="9"/>
        <v>https://purl.demodata7.org/spec/GENINTEGRATION/clPRODUCT4 m/lis|course_offering_Type2</v>
      </c>
      <c r="Z19" s="230" t="str">
        <f t="shared" si="10"/>
        <v>lis_course_offering_Type2</v>
      </c>
      <c r="AA19" s="222" t="str">
        <f t="shared" si="11"/>
        <v>https://purl.demodata7.org/spec/GENINTEGRATION/clPRODUCT4 m/lis|course_offering_Type2</v>
      </c>
      <c r="AC19" s="123" t="s">
        <v>88</v>
      </c>
      <c r="AD19" s="162" t="s">
        <v>97</v>
      </c>
    </row>
    <row r="20" spans="1:30" ht="20.100000000000001" customHeight="1" x14ac:dyDescent="0.55000000000000004">
      <c r="A20" s="804" t="str" cm="1">
        <f t="array" ref="A20">IFERROR(_xlfn.IFS($A$13=$AC$1,"",$A$13=$AC$10,$AC17,TRUE,""),"")</f>
        <v xml:space="preserve">Copy student ID to sub </v>
      </c>
      <c r="B20" s="804"/>
      <c r="C20" s="804"/>
      <c r="E20" s="217" t="str" cm="1">
        <f t="array" ref="E20">IFERROR(_xlfn.IFS($E$1="GENINTEGRATION 22 Parameters",(_xlfn.IFS($F$1=$Q$1,INDEX($P$2:$P$100,MATCH(0,INDEX(COUNTIF($E$1:$E19,$P$2:$P$100)+(COUNTIF($P$2:$P$100,$P$2:$P$100)&lt;&gt;1),0,0),0)),$F$1=$S$1,INDEX($R$2:$R$100,MATCH(0,INDEX(COUNTIF($E$1:$E19,$R$2:$R$100)+(COUNTIF($R$2:$R$100,$R$2:$R$100)&lt;&gt;1),0,0),0)),$F$1=$U$1,INDEX($T$2:$T$100,MATCH(0,INDEX(COUNTIF($E$1:$E19,$T$2:$T$100)+(COUNTIF($T$2:$T$100,$T$2:$T$100)&lt;&gt;1),0,0),0)),$F$1=$W$1,INDEX($V$2:$V$100,MATCH(0,INDEX(COUNTIF($E$1:$E19,$V$2:$V$100)+(COUNTIF($V$2:$V$100,$V$2:$V$100)&lt;&gt;1),0,0),0)),$F$1=$Y$1,INDEX($X$2:$X$100,MATCH(0,INDEX(COUNTIF($E$1:$E19,$X$2:$X$100)+(COUNTIF($X$2:$X$100,$X$2:$X$100)&lt;&gt;1),0,0),0)),$F$1=$AA$1,INDEX($Z$2:$Z$100,MATCH(0,INDEX(COUNTIF($E$1:$E19,$Z$2:$Z$100)+(COUNTIF($Z$2:$Z$100,$Z$2:$Z$100)&lt;&gt;1),0,0),0)),TRUE,"")),$E$1="GENINTEGRATION 22 Attributes",INDEX($H$2:$H$100,MATCH(0,INDEX(COUNTIF($E$1:$E19,$H$2:$H$100)+(COUNTIF($H$2:$H$100,$H$2:$H$100)&lt;&gt;1),0,0),0)),TRUE,""),"")</f>
        <v>lis_person_contact_PRODCUT4_primary</v>
      </c>
      <c r="F20" s="213" t="str" cm="1">
        <f t="array" ref="F20">IFERROR(_xlfn.IFS($F$1=$Q$1,_xlfn.XLOOKUP($E20,$P$2:$P$100,Q$2:Q$100)&amp;"",$F$1=$S$1,_xlfn.XLOOKUP($E20,$R$2:$R$100,$S$2:$S$100)&amp;"",$F$1=$Y$1,_xlfn.XLOOKUP($E20,$X$2:$X$100,$Y$2:$Y$100)&amp;"",$F$1=$U$1,_xlfn.XLOOKUP($E20,$T$2:$T$100,$U$2:$U$100)&amp;"",$F$1=$W$1,_xlfn.XLOOKUP($E20,$V$2:$V$100,$W$2:$W$100)&amp;"",$F$1=$AA$1,_xlfn.XLOOKUP($E20,$Z$2:$Z$100,$AA$2:$AA$100)&amp;"",TRUE, ""),"")</f>
        <v>PRODCUT4</v>
      </c>
      <c r="G20" s="215" t="str" cm="1">
        <f t="array" ref="G20">IFERROR(IF($F20&lt;&gt;"",_xlfn.IFS($F$1="LM7 31 ClPRODUCT4 ms","LM7",$F$1="LMS1 31 ClPRODUCT4 ms","CV",$F$1="LMS2 31 ClPRODUCT4 ms","CL",$F$1="LMS5 31 ClPRODUCT4 ms","JZ",$F$1="LMS8 31 ClPRODUCT4 ms","DL",$F$1="LMS6 31 ClPRODUCT4 ms","MD",TRUE, ""),IF(AND($E$1="GENINTEGRATION 22 Attributes",$E20&lt;&gt;""),"22","")),"")</f>
        <v>CV</v>
      </c>
      <c r="H20" s="21" t="s">
        <v>1005</v>
      </c>
      <c r="I20" s="21" t="s">
        <v>1006</v>
      </c>
      <c r="J20" s="229" t="s">
        <v>48</v>
      </c>
      <c r="K20" s="229" t="s">
        <v>48</v>
      </c>
      <c r="L20" s="229" t="s">
        <v>48</v>
      </c>
      <c r="M20" s="229" t="s">
        <v>48</v>
      </c>
      <c r="N20" s="229" t="s">
        <v>48</v>
      </c>
      <c r="O20" s="229" t="s">
        <v>48</v>
      </c>
      <c r="P20" s="230" t="str">
        <f t="shared" si="12"/>
        <v>lis_course_section_Type2</v>
      </c>
      <c r="Q20" s="222" t="str">
        <f t="shared" si="1"/>
        <v>https://purl.demodata7.org/spec/GENINTEGRATION/clPRODUCT4 m/lis|course_section_Type2</v>
      </c>
      <c r="R20" s="230" t="str">
        <f t="shared" si="2"/>
        <v>lis_course_section_Type2</v>
      </c>
      <c r="S20" s="222" t="str">
        <f t="shared" si="3"/>
        <v>https://purl.demodata7.org/spec/GENINTEGRATION/clPRODUCT4 m/lis|course_section_Type2</v>
      </c>
      <c r="T20" s="230" t="str">
        <f t="shared" si="4"/>
        <v>lis_course_section_Type2</v>
      </c>
      <c r="U20" s="222" t="str">
        <f t="shared" si="5"/>
        <v>https://purl.demodata7.org/spec/GENINTEGRATION/clPRODUCT4 m/lis|course_section_Type2</v>
      </c>
      <c r="V20" s="230" t="str">
        <f t="shared" si="6"/>
        <v>lis_course_section_Type2</v>
      </c>
      <c r="W20" s="222" t="str">
        <f t="shared" si="7"/>
        <v>https://purl.demodata7.org/spec/GENINTEGRATION/clPRODUCT4 m/lis|course_section_Type2</v>
      </c>
      <c r="X20" s="230" t="str">
        <f t="shared" si="8"/>
        <v>lis_course_section_Type2</v>
      </c>
      <c r="Y20" s="222" t="str">
        <f t="shared" si="9"/>
        <v>https://purl.demodata7.org/spec/GENINTEGRATION/clPRODUCT4 m/lis|course_section_Type2</v>
      </c>
      <c r="Z20" s="230" t="str">
        <f t="shared" si="10"/>
        <v>lis_course_section_Type2</v>
      </c>
      <c r="AA20" s="222" t="str">
        <f t="shared" si="11"/>
        <v>https://purl.demodata7.org/spec/GENINTEGRATION/clPRODUCT4 m/lis|course_section_Type2</v>
      </c>
      <c r="AC20" s="214" t="s">
        <v>101</v>
      </c>
      <c r="AD20" s="214"/>
    </row>
    <row r="21" spans="1:30" ht="20.100000000000001" customHeight="1" x14ac:dyDescent="0.55000000000000004">
      <c r="A21" s="219" t="str" cm="1">
        <f t="array" ref="A21">IFERROR(_xlfn.IFS($A$13=$AC$1,"",$A$13=$AC$10,$AC18,TRUE,""),"")</f>
        <v>From</v>
      </c>
      <c r="B21" s="803" t="str" cm="1">
        <f t="array" ref="B21">IFERROR(_xlfn.IFS($A$13=$AC$1,"",$A$13=$AC$10,$AD18,TRUE,""),"")</f>
        <v>https://purl.demodata7.org/spec/GENINTEGRATION/clPRODUCT4 m/lis|person_Type2</v>
      </c>
      <c r="C21" s="803"/>
      <c r="E21" s="217" t="str" cm="1">
        <f t="array" ref="E21">IFERROR(_xlfn.IFS($E$1="GENINTEGRATION 22 Parameters",(_xlfn.IFS($F$1=$Q$1,INDEX($P$2:$P$100,MATCH(0,INDEX(COUNTIF($E$1:$E20,$P$2:$P$100)+(COUNTIF($P$2:$P$100,$P$2:$P$100)&lt;&gt;1),0,0),0)),$F$1=$S$1,INDEX($R$2:$R$100,MATCH(0,INDEX(COUNTIF($E$1:$E20,$R$2:$R$100)+(COUNTIF($R$2:$R$100,$R$2:$R$100)&lt;&gt;1),0,0),0)),$F$1=$U$1,INDEX($T$2:$T$100,MATCH(0,INDEX(COUNTIF($E$1:$E20,$T$2:$T$100)+(COUNTIF($T$2:$T$100,$T$2:$T$100)&lt;&gt;1),0,0),0)),$F$1=$W$1,INDEX($V$2:$V$100,MATCH(0,INDEX(COUNTIF($E$1:$E20,$V$2:$V$100)+(COUNTIF($V$2:$V$100,$V$2:$V$100)&lt;&gt;1),0,0),0)),$F$1=$Y$1,INDEX($X$2:$X$100,MATCH(0,INDEX(COUNTIF($E$1:$E20,$X$2:$X$100)+(COUNTIF($X$2:$X$100,$X$2:$X$100)&lt;&gt;1),0,0),0)),$F$1=$AA$1,INDEX($Z$2:$Z$100,MATCH(0,INDEX(COUNTIF($E$1:$E20,$Z$2:$Z$100)+(COUNTIF($Z$2:$Z$100,$Z$2:$Z$100)&lt;&gt;1),0,0),0)),TRUE,"")),$E$1="GENINTEGRATION 22 Attributes",INDEX($H$2:$H$100,MATCH(0,INDEX(COUNTIF($E$1:$E20,$H$2:$H$100)+(COUNTIF($H$2:$H$100,$H$2:$H$100)&lt;&gt;1),0,0),0)),TRUE,""),"")</f>
        <v>lis_person_name_family</v>
      </c>
      <c r="F21" s="213" t="str" cm="1">
        <f t="array" ref="F21">IFERROR(_xlfn.IFS($F$1=$Q$1,_xlfn.XLOOKUP($E21,$P$2:$P$100,Q$2:Q$100)&amp;"",$F$1=$S$1,_xlfn.XLOOKUP($E21,$R$2:$R$100,$S$2:$S$100)&amp;"",$F$1=$Y$1,_xlfn.XLOOKUP($E21,$X$2:$X$100,$Y$2:$Y$100)&amp;"",$F$1=$U$1,_xlfn.XLOOKUP($E21,$T$2:$T$100,$U$2:$U$100)&amp;"",$F$1=$W$1,_xlfn.XLOOKUP($E21,$V$2:$V$100,$W$2:$W$100)&amp;"",$F$1=$AA$1,_xlfn.XLOOKUP($E21,$Z$2:$Z$100,$AA$2:$AA$100)&amp;"",TRUE, ""),"")</f>
        <v>family_name</v>
      </c>
      <c r="G21" s="215" t="str" cm="1">
        <f t="array" ref="G21">IFERROR(IF($F21&lt;&gt;"",_xlfn.IFS($F$1="LM7 31 ClPRODUCT4 ms","LM7",$F$1="LMS1 31 ClPRODUCT4 ms","CV",$F$1="LMS2 31 ClPRODUCT4 ms","CL",$F$1="LMS5 31 ClPRODUCT4 ms","JZ",$F$1="LMS8 31 ClPRODUCT4 ms","DL",$F$1="LMS6 31 ClPRODUCT4 ms","MD",TRUE, ""),IF(AND($E$1="GENINTEGRATION 22 Attributes",$E21&lt;&gt;""),"22","")),"")</f>
        <v>CV</v>
      </c>
      <c r="H21" s="21" t="s">
        <v>682</v>
      </c>
      <c r="I21" s="21" t="s">
        <v>677</v>
      </c>
      <c r="J21" s="229" t="s">
        <v>48</v>
      </c>
      <c r="K21" s="229" t="s">
        <v>48</v>
      </c>
      <c r="L21" s="229" t="s">
        <v>48</v>
      </c>
      <c r="M21" s="229" t="s">
        <v>48</v>
      </c>
      <c r="N21" s="229" t="s">
        <v>48</v>
      </c>
      <c r="O21" s="229" t="s">
        <v>48</v>
      </c>
      <c r="P21" s="230" t="str">
        <f t="shared" si="12"/>
        <v>lis_person_contact_PRODCUT4_primary</v>
      </c>
      <c r="Q21" s="222" t="str">
        <f t="shared" si="1"/>
        <v>PRODCUT4</v>
      </c>
      <c r="R21" s="230" t="str">
        <f t="shared" si="2"/>
        <v>lis_person_contact_PRODCUT4_primary</v>
      </c>
      <c r="S21" s="222" t="str">
        <f t="shared" si="3"/>
        <v>PRODCUT4</v>
      </c>
      <c r="T21" s="230" t="str">
        <f t="shared" si="4"/>
        <v>lis_person_contact_PRODCUT4_primary</v>
      </c>
      <c r="U21" s="222" t="str">
        <f t="shared" si="5"/>
        <v>PRODCUT4</v>
      </c>
      <c r="V21" s="230" t="str">
        <f t="shared" si="6"/>
        <v>lis_person_contact_PRODCUT4_primary</v>
      </c>
      <c r="W21" s="222" t="str">
        <f t="shared" si="7"/>
        <v>PRODCUT4</v>
      </c>
      <c r="X21" s="230" t="str">
        <f t="shared" si="8"/>
        <v>lis_person_contact_PRODCUT4_primary</v>
      </c>
      <c r="Y21" s="222" t="str">
        <f t="shared" si="9"/>
        <v>PRODCUT4</v>
      </c>
      <c r="Z21" s="230" t="str">
        <f t="shared" si="10"/>
        <v>lis_person_contact_PRODCUT4_primary</v>
      </c>
      <c r="AA21" s="222" t="str">
        <f t="shared" si="11"/>
        <v>PRODCUT4</v>
      </c>
      <c r="AC21" s="123" t="s">
        <v>102</v>
      </c>
      <c r="AD21" s="162" t="s">
        <v>774</v>
      </c>
    </row>
    <row r="22" spans="1:30" ht="20.100000000000001" customHeight="1" x14ac:dyDescent="0.55000000000000004">
      <c r="A22" s="219" t="str" cm="1">
        <f t="array" ref="A22">IFERROR(_xlfn.IFS($A$13=$AC$1,"",$A$13=$AC$10,$AC19,TRUE,""),"")</f>
        <v>To</v>
      </c>
      <c r="B22" s="803" t="str" cm="1">
        <f t="array" ref="B22">IFERROR(_xlfn.IFS($A$13=$AC$1,"",$A$13=$AC$10,$AD19,TRUE,""),"")</f>
        <v>sub</v>
      </c>
      <c r="C22" s="803"/>
      <c r="E22" s="217" t="str" cm="1">
        <f t="array" ref="E22">IFERROR(_xlfn.IFS($E$1="GENINTEGRATION 22 Parameters",(_xlfn.IFS($F$1=$Q$1,INDEX($P$2:$P$100,MATCH(0,INDEX(COUNTIF($E$1:$E21,$P$2:$P$100)+(COUNTIF($P$2:$P$100,$P$2:$P$100)&lt;&gt;1),0,0),0)),$F$1=$S$1,INDEX($R$2:$R$100,MATCH(0,INDEX(COUNTIF($E$1:$E21,$R$2:$R$100)+(COUNTIF($R$2:$R$100,$R$2:$R$100)&lt;&gt;1),0,0),0)),$F$1=$U$1,INDEX($T$2:$T$100,MATCH(0,INDEX(COUNTIF($E$1:$E21,$T$2:$T$100)+(COUNTIF($T$2:$T$100,$T$2:$T$100)&lt;&gt;1),0,0),0)),$F$1=$W$1,INDEX($V$2:$V$100,MATCH(0,INDEX(COUNTIF($E$1:$E21,$V$2:$V$100)+(COUNTIF($V$2:$V$100,$V$2:$V$100)&lt;&gt;1),0,0),0)),$F$1=$Y$1,INDEX($X$2:$X$100,MATCH(0,INDEX(COUNTIF($E$1:$E21,$X$2:$X$100)+(COUNTIF($X$2:$X$100,$X$2:$X$100)&lt;&gt;1),0,0),0)),$F$1=$AA$1,INDEX($Z$2:$Z$100,MATCH(0,INDEX(COUNTIF($E$1:$E21,$Z$2:$Z$100)+(COUNTIF($Z$2:$Z$100,$Z$2:$Z$100)&lt;&gt;1),0,0),0)),TRUE,"")),$E$1="GENINTEGRATION 22 Attributes",INDEX($H$2:$H$100,MATCH(0,INDEX(COUNTIF($E$1:$E21,$H$2:$H$100)+(COUNTIF($H$2:$H$100,$H$2:$H$100)&lt;&gt;1),0,0),0)),TRUE,""),"")</f>
        <v>lis_person_name_full</v>
      </c>
      <c r="F22" s="213" t="str" cm="1">
        <f t="array" ref="F22">IFERROR(_xlfn.IFS($F$1=$Q$1,_xlfn.XLOOKUP($E22,$P$2:$P$100,Q$2:Q$100)&amp;"",$F$1=$S$1,_xlfn.XLOOKUP($E22,$R$2:$R$100,$S$2:$S$100)&amp;"",$F$1=$Y$1,_xlfn.XLOOKUP($E22,$X$2:$X$100,$Y$2:$Y$100)&amp;"",$F$1=$U$1,_xlfn.XLOOKUP($E22,$T$2:$T$100,$U$2:$U$100)&amp;"",$F$1=$W$1,_xlfn.XLOOKUP($E22,$V$2:$V$100,$W$2:$W$100)&amp;"",$F$1=$AA$1,_xlfn.XLOOKUP($E22,$Z$2:$Z$100,$AA$2:$AA$100)&amp;"",TRUE, ""),"")</f>
        <v>name</v>
      </c>
      <c r="G22" s="215" t="str" cm="1">
        <f t="array" ref="G22">IFERROR(IF($F22&lt;&gt;"",_xlfn.IFS($F$1="LM7 31 ClPRODUCT4 ms","LM7",$F$1="LMS1 31 ClPRODUCT4 ms","CV",$F$1="LMS2 31 ClPRODUCT4 ms","CL",$F$1="LMS5 31 ClPRODUCT4 ms","JZ",$F$1="LMS8 31 ClPRODUCT4 ms","DL",$F$1="LMS6 31 ClPRODUCT4 ms","MD",TRUE, ""),IF(AND($E$1="GENINTEGRATION 22 Attributes",$E22&lt;&gt;""),"22","")),"")</f>
        <v>CV</v>
      </c>
      <c r="H22" s="21" t="s">
        <v>103</v>
      </c>
      <c r="I22" s="21" t="s">
        <v>104</v>
      </c>
      <c r="J22" s="229" t="s">
        <v>48</v>
      </c>
      <c r="K22" s="229" t="s">
        <v>48</v>
      </c>
      <c r="L22" s="229" t="s">
        <v>48</v>
      </c>
      <c r="M22" s="229" t="s">
        <v>48</v>
      </c>
      <c r="N22" s="229" t="s">
        <v>48</v>
      </c>
      <c r="O22" s="229" t="s">
        <v>48</v>
      </c>
      <c r="P22" s="230" t="str">
        <f t="shared" si="12"/>
        <v>lis_person_name_family</v>
      </c>
      <c r="Q22" s="222" t="str">
        <f t="shared" si="1"/>
        <v>family_name</v>
      </c>
      <c r="R22" s="230" t="str">
        <f t="shared" si="2"/>
        <v>lis_person_name_family</v>
      </c>
      <c r="S22" s="222" t="str">
        <f t="shared" si="3"/>
        <v>family_name</v>
      </c>
      <c r="T22" s="230" t="str">
        <f t="shared" si="4"/>
        <v>lis_person_name_family</v>
      </c>
      <c r="U22" s="222" t="str">
        <f t="shared" si="5"/>
        <v>family_name</v>
      </c>
      <c r="V22" s="230" t="str">
        <f t="shared" si="6"/>
        <v>lis_person_name_family</v>
      </c>
      <c r="W22" s="222" t="str">
        <f t="shared" si="7"/>
        <v>family_name</v>
      </c>
      <c r="X22" s="230" t="str">
        <f t="shared" si="8"/>
        <v>lis_person_name_family</v>
      </c>
      <c r="Y22" s="222" t="str">
        <f t="shared" si="9"/>
        <v>family_name</v>
      </c>
      <c r="Z22" s="230" t="str">
        <f t="shared" si="10"/>
        <v>lis_person_name_family</v>
      </c>
      <c r="AA22" s="222" t="str">
        <f t="shared" si="11"/>
        <v>family_name</v>
      </c>
      <c r="AC22" s="123" t="s">
        <v>105</v>
      </c>
      <c r="AD22" s="162" t="str">
        <f>IF('Program Config'!$F$10&lt;&gt;"",'Program Config'!$F$10,"")</f>
        <v>DEMO</v>
      </c>
    </row>
    <row r="23" spans="1:30" ht="20.100000000000001" customHeight="1" x14ac:dyDescent="0.55000000000000004">
      <c r="A23" s="804" t="str" cm="1">
        <f t="array" ref="A23">IFERROR(_xlfn.IFS($A$13=$AC$1,"",$A$13=$AC$10,$AC20,TRUE,""),"")</f>
        <v>Set custom_ap to Program Name</v>
      </c>
      <c r="B23" s="804"/>
      <c r="C23" s="804"/>
      <c r="E23" s="217" t="str" cm="1">
        <f t="array" ref="E23">IFERROR(_xlfn.IFS($E$1="GENINTEGRATION 22 Parameters",(_xlfn.IFS($F$1=$Q$1,INDEX($P$2:$P$100,MATCH(0,INDEX(COUNTIF($E$1:$E22,$P$2:$P$100)+(COUNTIF($P$2:$P$100,$P$2:$P$100)&lt;&gt;1),0,0),0)),$F$1=$S$1,INDEX($R$2:$R$100,MATCH(0,INDEX(COUNTIF($E$1:$E22,$R$2:$R$100)+(COUNTIF($R$2:$R$100,$R$2:$R$100)&lt;&gt;1),0,0),0)),$F$1=$U$1,INDEX($T$2:$T$100,MATCH(0,INDEX(COUNTIF($E$1:$E22,$T$2:$T$100)+(COUNTIF($T$2:$T$100,$T$2:$T$100)&lt;&gt;1),0,0),0)),$F$1=$W$1,INDEX($V$2:$V$100,MATCH(0,INDEX(COUNTIF($E$1:$E22,$V$2:$V$100)+(COUNTIF($V$2:$V$100,$V$2:$V$100)&lt;&gt;1),0,0),0)),$F$1=$Y$1,INDEX($X$2:$X$100,MATCH(0,INDEX(COUNTIF($E$1:$E22,$X$2:$X$100)+(COUNTIF($X$2:$X$100,$X$2:$X$100)&lt;&gt;1),0,0),0)),$F$1=$AA$1,INDEX($Z$2:$Z$100,MATCH(0,INDEX(COUNTIF($E$1:$E22,$Z$2:$Z$100)+(COUNTIF($Z$2:$Z$100,$Z$2:$Z$100)&lt;&gt;1),0,0),0)),TRUE,"")),$E$1="GENINTEGRATION 22 Attributes",INDEX($H$2:$H$100,MATCH(0,INDEX(COUNTIF($E$1:$E22,$H$2:$H$100)+(COUNTIF($H$2:$H$100,$H$2:$H$100)&lt;&gt;1),0,0),0)),TRUE,""),"")</f>
        <v>lis_person_name_given</v>
      </c>
      <c r="F23" s="213" t="str" cm="1">
        <f t="array" ref="F23">IFERROR(_xlfn.IFS($F$1=$Q$1,_xlfn.XLOOKUP($E23,$P$2:$P$100,Q$2:Q$100)&amp;"",$F$1=$S$1,_xlfn.XLOOKUP($E23,$R$2:$R$100,$S$2:$S$100)&amp;"",$F$1=$Y$1,_xlfn.XLOOKUP($E23,$X$2:$X$100,$Y$2:$Y$100)&amp;"",$F$1=$U$1,_xlfn.XLOOKUP($E23,$T$2:$T$100,$U$2:$U$100)&amp;"",$F$1=$W$1,_xlfn.XLOOKUP($E23,$V$2:$V$100,$W$2:$W$100)&amp;"",$F$1=$AA$1,_xlfn.XLOOKUP($E23,$Z$2:$Z$100,$AA$2:$AA$100)&amp;"",TRUE, ""),"")</f>
        <v>given_name</v>
      </c>
      <c r="G23" s="215" t="str" cm="1">
        <f t="array" ref="G23">IFERROR(IF($F23&lt;&gt;"",_xlfn.IFS($F$1="LM7 31 ClPRODUCT4 ms","LM7",$F$1="LMS1 31 ClPRODUCT4 ms","CV",$F$1="LMS2 31 ClPRODUCT4 ms","CL",$F$1="LMS5 31 ClPRODUCT4 ms","JZ",$F$1="LMS8 31 ClPRODUCT4 ms","DL",$F$1="LMS6 31 ClPRODUCT4 ms","MD",TRUE, ""),IF(AND($E$1="GENINTEGRATION 22 Attributes",$E23&lt;&gt;""),"22","")),"")</f>
        <v>CV</v>
      </c>
      <c r="H23" s="21" t="s">
        <v>106</v>
      </c>
      <c r="I23" s="21" t="s">
        <v>107</v>
      </c>
      <c r="J23" s="229" t="s">
        <v>48</v>
      </c>
      <c r="K23" s="229" t="s">
        <v>48</v>
      </c>
      <c r="L23" s="229" t="s">
        <v>48</v>
      </c>
      <c r="M23" s="229" t="s">
        <v>48</v>
      </c>
      <c r="N23" s="229" t="s">
        <v>48</v>
      </c>
      <c r="O23" s="229" t="s">
        <v>48</v>
      </c>
      <c r="P23" s="230" t="str">
        <f t="shared" si="12"/>
        <v>lis_person_name_full</v>
      </c>
      <c r="Q23" s="222" t="str">
        <f t="shared" si="1"/>
        <v>name</v>
      </c>
      <c r="R23" s="230" t="str">
        <f t="shared" si="2"/>
        <v>lis_person_name_full</v>
      </c>
      <c r="S23" s="222" t="str">
        <f t="shared" si="3"/>
        <v>name</v>
      </c>
      <c r="T23" s="230" t="str">
        <f t="shared" si="4"/>
        <v>lis_person_name_full</v>
      </c>
      <c r="U23" s="222" t="str">
        <f t="shared" si="5"/>
        <v>name</v>
      </c>
      <c r="V23" s="230" t="str">
        <f t="shared" si="6"/>
        <v>lis_person_name_full</v>
      </c>
      <c r="W23" s="222" t="str">
        <f t="shared" si="7"/>
        <v>name</v>
      </c>
      <c r="X23" s="230" t="str">
        <f t="shared" si="8"/>
        <v>lis_person_name_full</v>
      </c>
      <c r="Y23" s="222" t="str">
        <f t="shared" si="9"/>
        <v>name</v>
      </c>
      <c r="Z23" s="230" t="str">
        <f t="shared" si="10"/>
        <v>lis_person_name_full</v>
      </c>
      <c r="AA23" s="222" t="str">
        <f t="shared" si="11"/>
        <v>name</v>
      </c>
      <c r="AC23" s="214" t="s">
        <v>108</v>
      </c>
      <c r="AD23" s="214"/>
    </row>
    <row r="24" spans="1:30" ht="20.100000000000001" customHeight="1" x14ac:dyDescent="0.55000000000000004">
      <c r="A24" s="219" t="str" cm="1">
        <f t="array" ref="A24">IFERROR(_xlfn.IFS($A$13=$AC$1,"",$A$13=$AC$10,$AC21,TRUE,""),"")</f>
        <v>Parameter</v>
      </c>
      <c r="B24" s="803" t="str" cm="1">
        <f t="array" ref="B24">IFERROR(_xlfn.IFS($A$13=$AC$1,"",$A$13=$AC$10,$AD21,TRUE,""),"")</f>
        <v>https://purl.demodata7.org/spec/GENINTEGRATION/clPRODUCT4 m/custom|custom_ap</v>
      </c>
      <c r="C24" s="803"/>
      <c r="E24" s="217" t="str" cm="1">
        <f t="array" ref="E24">IFERROR(_xlfn.IFS($E$1="GENINTEGRATION 22 Parameters",(_xlfn.IFS($F$1=$Q$1,INDEX($P$2:$P$100,MATCH(0,INDEX(COUNTIF($E$1:$E23,$P$2:$P$100)+(COUNTIF($P$2:$P$100,$P$2:$P$100)&lt;&gt;1),0,0),0)),$F$1=$S$1,INDEX($R$2:$R$100,MATCH(0,INDEX(COUNTIF($E$1:$E23,$R$2:$R$100)+(COUNTIF($R$2:$R$100,$R$2:$R$100)&lt;&gt;1),0,0),0)),$F$1=$U$1,INDEX($T$2:$T$100,MATCH(0,INDEX(COUNTIF($E$1:$E23,$T$2:$T$100)+(COUNTIF($T$2:$T$100,$T$2:$T$100)&lt;&gt;1),0,0),0)),$F$1=$W$1,INDEX($V$2:$V$100,MATCH(0,INDEX(COUNTIF($E$1:$E23,$V$2:$V$100)+(COUNTIF($V$2:$V$100,$V$2:$V$100)&lt;&gt;1),0,0),0)),$F$1=$Y$1,INDEX($X$2:$X$100,MATCH(0,INDEX(COUNTIF($E$1:$E23,$X$2:$X$100)+(COUNTIF($X$2:$X$100,$X$2:$X$100)&lt;&gt;1),0,0),0)),$F$1=$AA$1,INDEX($Z$2:$Z$100,MATCH(0,INDEX(COUNTIF($E$1:$E23,$Z$2:$Z$100)+(COUNTIF($Z$2:$Z$100,$Z$2:$Z$100)&lt;&gt;1),0,0),0)),TRUE,"")),$E$1="GENINTEGRATION 22 Attributes",INDEX($H$2:$H$100,MATCH(0,INDEX(COUNTIF($E$1:$E23,$H$2:$H$100)+(COUNTIF($H$2:$H$100,$H$2:$H$100)&lt;&gt;1),0,0),0)),TRUE,""),"")</f>
        <v>lis_person_Type2</v>
      </c>
      <c r="F24" s="213" t="str" cm="1">
        <f t="array" ref="F24">IFERROR(_xlfn.IFS($F$1=$Q$1,_xlfn.XLOOKUP($E24,$P$2:$P$100,Q$2:Q$100)&amp;"",$F$1=$S$1,_xlfn.XLOOKUP($E24,$R$2:$R$100,$S$2:$S$100)&amp;"",$F$1=$Y$1,_xlfn.XLOOKUP($E24,$X$2:$X$100,$Y$2:$Y$100)&amp;"",$F$1=$U$1,_xlfn.XLOOKUP($E24,$T$2:$T$100,$U$2:$U$100)&amp;"",$F$1=$W$1,_xlfn.XLOOKUP($E24,$V$2:$V$100,$W$2:$W$100)&amp;"",$F$1=$AA$1,_xlfn.XLOOKUP($E24,$Z$2:$Z$100,$AA$2:$AA$100)&amp;"",TRUE, ""),"")</f>
        <v>https://purl.demodata7.org/spec/GENINTEGRATION/clPRODUCT4 m/lis|person_Type2</v>
      </c>
      <c r="G24" s="215" t="str" cm="1">
        <f t="array" ref="G24">IFERROR(IF($F24&lt;&gt;"",_xlfn.IFS($F$1="LM7 31 ClPRODUCT4 ms","LM7",$F$1="LMS1 31 ClPRODUCT4 ms","CV",$F$1="LMS2 31 ClPRODUCT4 ms","CL",$F$1="LMS5 31 ClPRODUCT4 ms","JZ",$F$1="LMS8 31 ClPRODUCT4 ms","DL",$F$1="LMS6 31 ClPRODUCT4 ms","MD",TRUE, ""),IF(AND($E$1="GENINTEGRATION 22 Attributes",$E24&lt;&gt;""),"22","")),"")</f>
        <v>CV</v>
      </c>
      <c r="H24" s="21" t="s">
        <v>109</v>
      </c>
      <c r="I24" s="21" t="s">
        <v>110</v>
      </c>
      <c r="J24" s="229" t="s">
        <v>48</v>
      </c>
      <c r="K24" s="229" t="s">
        <v>48</v>
      </c>
      <c r="L24" s="229" t="s">
        <v>48</v>
      </c>
      <c r="M24" s="229" t="s">
        <v>48</v>
      </c>
      <c r="N24" s="229" t="s">
        <v>48</v>
      </c>
      <c r="O24" s="229" t="s">
        <v>48</v>
      </c>
      <c r="P24" s="230" t="str">
        <f t="shared" si="12"/>
        <v>lis_person_name_given</v>
      </c>
      <c r="Q24" s="222" t="str">
        <f t="shared" si="1"/>
        <v>given_name</v>
      </c>
      <c r="R24" s="230" t="str">
        <f t="shared" si="2"/>
        <v>lis_person_name_given</v>
      </c>
      <c r="S24" s="222" t="str">
        <f t="shared" si="3"/>
        <v>given_name</v>
      </c>
      <c r="T24" s="230" t="str">
        <f t="shared" si="4"/>
        <v>lis_person_name_given</v>
      </c>
      <c r="U24" s="222" t="str">
        <f t="shared" si="5"/>
        <v>given_name</v>
      </c>
      <c r="V24" s="230" t="str">
        <f t="shared" si="6"/>
        <v>lis_person_name_given</v>
      </c>
      <c r="W24" s="222" t="str">
        <f t="shared" si="7"/>
        <v>given_name</v>
      </c>
      <c r="X24" s="230" t="str">
        <f t="shared" si="8"/>
        <v>lis_person_name_given</v>
      </c>
      <c r="Y24" s="222" t="str">
        <f t="shared" si="9"/>
        <v>given_name</v>
      </c>
      <c r="Z24" s="230" t="str">
        <f t="shared" si="10"/>
        <v>lis_person_name_given</v>
      </c>
      <c r="AA24" s="222" t="str">
        <f t="shared" si="11"/>
        <v>given_name</v>
      </c>
      <c r="AC24" s="123" t="s">
        <v>86</v>
      </c>
      <c r="AD24" s="162" t="s">
        <v>781</v>
      </c>
    </row>
    <row r="25" spans="1:30" ht="20.100000000000001" customHeight="1" x14ac:dyDescent="0.55000000000000004">
      <c r="A25" s="219" t="str" cm="1">
        <f t="array" ref="A25">IFERROR(_xlfn.IFS($A$13=$AC$1,"",$A$13=$AC$10,$AC22,TRUE,""),"")</f>
        <v>Value</v>
      </c>
      <c r="B25" s="803" t="str" cm="1">
        <f t="array" ref="B25">IFERROR(_xlfn.IFS($A$13=$AC$1,"",$A$13=$AC$10,$AD22,TRUE,""),"")</f>
        <v>DEMO</v>
      </c>
      <c r="C25" s="803"/>
      <c r="E25" s="217" t="str" cm="1">
        <f t="array" ref="E25">IFERROR(_xlfn.IFS($E$1="GENINTEGRATION 22 Parameters",(_xlfn.IFS($F$1=$Q$1,INDEX($P$2:$P$100,MATCH(0,INDEX(COUNTIF($E$1:$E24,$P$2:$P$100)+(COUNTIF($P$2:$P$100,$P$2:$P$100)&lt;&gt;1),0,0),0)),$F$1=$S$1,INDEX($R$2:$R$100,MATCH(0,INDEX(COUNTIF($E$1:$E24,$R$2:$R$100)+(COUNTIF($R$2:$R$100,$R$2:$R$100)&lt;&gt;1),0,0),0)),$F$1=$U$1,INDEX($T$2:$T$100,MATCH(0,INDEX(COUNTIF($E$1:$E24,$T$2:$T$100)+(COUNTIF($T$2:$T$100,$T$2:$T$100)&lt;&gt;1),0,0),0)),$F$1=$W$1,INDEX($V$2:$V$100,MATCH(0,INDEX(COUNTIF($E$1:$E24,$V$2:$V$100)+(COUNTIF($V$2:$V$100,$V$2:$V$100)&lt;&gt;1),0,0),0)),$F$1=$Y$1,INDEX($X$2:$X$100,MATCH(0,INDEX(COUNTIF($E$1:$E24,$X$2:$X$100)+(COUNTIF($X$2:$X$100,$X$2:$X$100)&lt;&gt;1),0,0),0)),$F$1=$AA$1,INDEX($Z$2:$Z$100,MATCH(0,INDEX(COUNTIF($E$1:$E24,$Z$2:$Z$100)+(COUNTIF($Z$2:$Z$100,$Z$2:$Z$100)&lt;&gt;1),0,0),0)),TRUE,"")),$E$1="GENINTEGRATION 22 Attributes",INDEX($H$2:$H$100,MATCH(0,INDEX(COUNTIF($E$1:$E24,$H$2:$H$100)+(COUNTIF($H$2:$H$100,$H$2:$H$100)&lt;&gt;1),0,0),0)),TRUE,""),"")</f>
        <v>GENINTEGRATION_message_type</v>
      </c>
      <c r="F25" s="213" t="str" cm="1">
        <f t="array" ref="F25">IFERROR(_xlfn.IFS($F$1=$Q$1,_xlfn.XLOOKUP($E25,$P$2:$P$100,Q$2:Q$100)&amp;"",$F$1=$S$1,_xlfn.XLOOKUP($E25,$R$2:$R$100,$S$2:$S$100)&amp;"",$F$1=$Y$1,_xlfn.XLOOKUP($E25,$X$2:$X$100,$Y$2:$Y$100)&amp;"",$F$1=$U$1,_xlfn.XLOOKUP($E25,$T$2:$T$100,$U$2:$U$100)&amp;"",$F$1=$W$1,_xlfn.XLOOKUP($E25,$V$2:$V$100,$W$2:$W$100)&amp;"",$F$1=$AA$1,_xlfn.XLOOKUP($E25,$Z$2:$Z$100,$AA$2:$AA$100)&amp;"",TRUE, ""),"")</f>
        <v>https://purl.demodata7.org/spec/GENINTEGRATION/clPRODUCT4 m/message_type</v>
      </c>
      <c r="G25" s="215" t="str" cm="1">
        <f t="array" ref="G25">IFERROR(IF($F25&lt;&gt;"",_xlfn.IFS($F$1="LM7 31 ClPRODUCT4 ms","LM7",$F$1="LMS1 31 ClPRODUCT4 ms","CV",$F$1="LMS2 31 ClPRODUCT4 ms","CL",$F$1="LMS5 31 ClPRODUCT4 ms","JZ",$F$1="LMS8 31 ClPRODUCT4 ms","DL",$F$1="LMS6 31 ClPRODUCT4 ms","MD",TRUE, ""),IF(AND($E$1="GENINTEGRATION 22 Attributes",$E25&lt;&gt;""),"22","")),"")</f>
        <v>CV</v>
      </c>
      <c r="H25" s="21" t="s">
        <v>1007</v>
      </c>
      <c r="I25" s="21" t="s">
        <v>1002</v>
      </c>
      <c r="J25" s="229" t="s">
        <v>48</v>
      </c>
      <c r="K25" s="229" t="s">
        <v>48</v>
      </c>
      <c r="L25" s="229" t="s">
        <v>48</v>
      </c>
      <c r="M25" s="229" t="s">
        <v>48</v>
      </c>
      <c r="N25" s="229" t="s">
        <v>48</v>
      </c>
      <c r="O25" s="229" t="s">
        <v>48</v>
      </c>
      <c r="P25" s="230" t="str">
        <f t="shared" si="12"/>
        <v>lis_person_Type2</v>
      </c>
      <c r="Q25" s="222" t="str">
        <f t="shared" si="1"/>
        <v>https://purl.demodata7.org/spec/GENINTEGRATION/clPRODUCT4 m/lis|person_Type2</v>
      </c>
      <c r="R25" s="230" t="str">
        <f t="shared" si="2"/>
        <v>lis_person_Type2</v>
      </c>
      <c r="S25" s="222" t="str">
        <f t="shared" si="3"/>
        <v>https://purl.demodata7.org/spec/GENINTEGRATION/clPRODUCT4 m/lis|person_Type2</v>
      </c>
      <c r="T25" s="230" t="str">
        <f t="shared" si="4"/>
        <v>lis_person_Type2</v>
      </c>
      <c r="U25" s="222" t="str">
        <f t="shared" si="5"/>
        <v>https://purl.demodata7.org/spec/GENINTEGRATION/clPRODUCT4 m/lis|person_Type2</v>
      </c>
      <c r="V25" s="230" t="str">
        <f t="shared" si="6"/>
        <v>lis_person_Type2</v>
      </c>
      <c r="W25" s="222" t="str">
        <f t="shared" si="7"/>
        <v>https://purl.demodata7.org/spec/GENINTEGRATION/clPRODUCT4 m/lis|person_Type2</v>
      </c>
      <c r="X25" s="230" t="str">
        <f t="shared" si="8"/>
        <v>lis_person_Type2</v>
      </c>
      <c r="Y25" s="222" t="str">
        <f t="shared" si="9"/>
        <v>https://purl.demodata7.org/spec/GENINTEGRATION/clPRODUCT4 m/lis|person_Type2</v>
      </c>
      <c r="Z25" s="230" t="str">
        <f t="shared" si="10"/>
        <v>lis_person_Type2</v>
      </c>
      <c r="AA25" s="222" t="str">
        <f t="shared" si="11"/>
        <v>https://purl.demodata7.org/spec/GENINTEGRATION/clPRODUCT4 m/lis|person_Type2</v>
      </c>
      <c r="AC25" s="123" t="s">
        <v>88</v>
      </c>
      <c r="AD25" s="162" t="s">
        <v>774</v>
      </c>
    </row>
    <row r="26" spans="1:30" ht="20.100000000000001" customHeight="1" x14ac:dyDescent="0.55000000000000004">
      <c r="A26" s="804" t="str" cm="1">
        <f t="array" ref="A26">IFERROR(_xlfn.IFS($A$13=$AC$1,"",$A$13=$AC$10,$AC23,TRUE,""),"")</f>
        <v>Set a Generic custom_ap using the LMS Name</v>
      </c>
      <c r="B26" s="804"/>
      <c r="C26" s="804"/>
      <c r="E26" s="217" t="str" cm="1">
        <f t="array" ref="E26">IFERROR(_xlfn.IFS($E$1="GENINTEGRATION 22 Parameters",(_xlfn.IFS($F$1=$Q$1,INDEX($P$2:$P$100,MATCH(0,INDEX(COUNTIF($E$1:$E25,$P$2:$P$100)+(COUNTIF($P$2:$P$100,$P$2:$P$100)&lt;&gt;1),0,0),0)),$F$1=$S$1,INDEX($R$2:$R$100,MATCH(0,INDEX(COUNTIF($E$1:$E25,$R$2:$R$100)+(COUNTIF($R$2:$R$100,$R$2:$R$100)&lt;&gt;1),0,0),0)),$F$1=$U$1,INDEX($T$2:$T$100,MATCH(0,INDEX(COUNTIF($E$1:$E25,$T$2:$T$100)+(COUNTIF($T$2:$T$100,$T$2:$T$100)&lt;&gt;1),0,0),0)),$F$1=$W$1,INDEX($V$2:$V$100,MATCH(0,INDEX(COUNTIF($E$1:$E25,$V$2:$V$100)+(COUNTIF($V$2:$V$100,$V$2:$V$100)&lt;&gt;1),0,0),0)),$F$1=$Y$1,INDEX($X$2:$X$100,MATCH(0,INDEX(COUNTIF($E$1:$E25,$X$2:$X$100)+(COUNTIF($X$2:$X$100,$X$2:$X$100)&lt;&gt;1),0,0),0)),$F$1=$AA$1,INDEX($Z$2:$Z$100,MATCH(0,INDEX(COUNTIF($E$1:$E25,$Z$2:$Z$100)+(COUNTIF($Z$2:$Z$100,$Z$2:$Z$100)&lt;&gt;1),0,0),0)),TRUE,"")),$E$1="GENINTEGRATION 22 Attributes",INDEX($H$2:$H$100,MATCH(0,INDEX(COUNTIF($E$1:$E25,$H$2:$H$100)+(COUNTIF($H$2:$H$100,$H$2:$H$100)&lt;&gt;1),0,0),0)),TRUE,""),"")</f>
        <v>GENINTEGRATION_version</v>
      </c>
      <c r="F26" s="213" t="str" cm="1">
        <f t="array" ref="F26">IFERROR(_xlfn.IFS($F$1=$Q$1,_xlfn.XLOOKUP($E26,$P$2:$P$100,Q$2:Q$100)&amp;"",$F$1=$S$1,_xlfn.XLOOKUP($E26,$R$2:$R$100,$S$2:$S$100)&amp;"",$F$1=$Y$1,_xlfn.XLOOKUP($E26,$X$2:$X$100,$Y$2:$Y$100)&amp;"",$F$1=$U$1,_xlfn.XLOOKUP($E26,$T$2:$T$100,$U$2:$U$100)&amp;"",$F$1=$W$1,_xlfn.XLOOKUP($E26,$V$2:$V$100,$W$2:$W$100)&amp;"",$F$1=$AA$1,_xlfn.XLOOKUP($E26,$Z$2:$Z$100,$AA$2:$AA$100)&amp;"",TRUE, ""),"")</f>
        <v>https://purl.demodata7.org/spec/GENINTEGRATION/clPRODUCT4 m/version</v>
      </c>
      <c r="G26" s="215" t="str" cm="1">
        <f t="array" ref="G26">IFERROR(IF($F26&lt;&gt;"",_xlfn.IFS($F$1="LM7 31 ClPRODUCT4 ms","LM7",$F$1="LMS1 31 ClPRODUCT4 ms","CV",$F$1="LMS2 31 ClPRODUCT4 ms","CL",$F$1="LMS5 31 ClPRODUCT4 ms","JZ",$F$1="LMS8 31 ClPRODUCT4 ms","DL",$F$1="LMS6 31 ClPRODUCT4 ms","MD",TRUE, ""),IF(AND($E$1="GENINTEGRATION 22 Attributes",$E26&lt;&gt;""),"22","")),"")</f>
        <v>CV</v>
      </c>
      <c r="H26" s="21" t="s">
        <v>782</v>
      </c>
      <c r="I26" s="21" t="s">
        <v>783</v>
      </c>
      <c r="J26" s="229" t="s">
        <v>48</v>
      </c>
      <c r="K26" s="229" t="s">
        <v>48</v>
      </c>
      <c r="L26" s="229" t="s">
        <v>48</v>
      </c>
      <c r="M26" s="229" t="s">
        <v>48</v>
      </c>
      <c r="N26" s="229" t="s">
        <v>48</v>
      </c>
      <c r="O26" s="229" t="s">
        <v>48</v>
      </c>
      <c r="P26" s="230" t="str">
        <f t="shared" si="12"/>
        <v>GENINTEGRATION_message_type</v>
      </c>
      <c r="Q26" s="222" t="str">
        <f t="shared" si="1"/>
        <v>https://purl.demodata7.org/spec/GENINTEGRATION/clPRODUCT4 m/message_type</v>
      </c>
      <c r="R26" s="230" t="str">
        <f t="shared" si="2"/>
        <v>GENINTEGRATION_message_type</v>
      </c>
      <c r="S26" s="222" t="str">
        <f t="shared" si="3"/>
        <v>https://purl.demodata7.org/spec/GENINTEGRATION/clPRODUCT4 m/message_type</v>
      </c>
      <c r="T26" s="230" t="str">
        <f t="shared" si="4"/>
        <v>GENINTEGRATION_message_type</v>
      </c>
      <c r="U26" s="222" t="str">
        <f t="shared" si="5"/>
        <v>https://purl.demodata7.org/spec/GENINTEGRATION/clPRODUCT4 m/message_type</v>
      </c>
      <c r="V26" s="230" t="str">
        <f t="shared" si="6"/>
        <v>GENINTEGRATION_message_type</v>
      </c>
      <c r="W26" s="222" t="str">
        <f t="shared" si="7"/>
        <v>https://purl.demodata7.org/spec/GENINTEGRATION/clPRODUCT4 m/message_type</v>
      </c>
      <c r="X26" s="230" t="str">
        <f t="shared" si="8"/>
        <v>GENINTEGRATION_message_type</v>
      </c>
      <c r="Y26" s="222" t="str">
        <f t="shared" si="9"/>
        <v>https://purl.demodata7.org/spec/GENINTEGRATION/clPRODUCT4 m/message_type</v>
      </c>
      <c r="Z26" s="230" t="str">
        <f t="shared" si="10"/>
        <v>GENINTEGRATION_message_type</v>
      </c>
      <c r="AA26" s="222" t="str">
        <f t="shared" si="11"/>
        <v>https://purl.demodata7.org/spec/GENINTEGRATION/clPRODUCT4 m/message_type</v>
      </c>
    </row>
    <row r="27" spans="1:30" ht="20.100000000000001" customHeight="1" x14ac:dyDescent="0.55000000000000004">
      <c r="A27" s="219" t="str" cm="1">
        <f t="array" ref="A27">IFERROR(_xlfn.IFS($A$13=$AC$1,"",$A$13=$AC$10,$AC24,TRUE,""),"")</f>
        <v>From</v>
      </c>
      <c r="B27" s="803" t="str" cm="1">
        <f t="array" ref="B27">IFERROR(_xlfn.IFS($A$13=$AC$1,"",$A$13=$AC$10,$AD24,TRUE,""),"")</f>
        <v>https://purl.demodata7.org/spec/GENINTEGRATION/clPRODUCT4 m/tool_platform|product_family_code</v>
      </c>
      <c r="C27" s="803"/>
      <c r="E27" s="217" t="str" cm="1">
        <f t="array" ref="E27">IFERROR(_xlfn.IFS($E$1="GENINTEGRATION 22 Parameters",(_xlfn.IFS($F$1=$Q$1,INDEX($P$2:$P$100,MATCH(0,INDEX(COUNTIF($E$1:$E26,$P$2:$P$100)+(COUNTIF($P$2:$P$100,$P$2:$P$100)&lt;&gt;1),0,0),0)),$F$1=$S$1,INDEX($R$2:$R$100,MATCH(0,INDEX(COUNTIF($E$1:$E26,$R$2:$R$100)+(COUNTIF($R$2:$R$100,$R$2:$R$100)&lt;&gt;1),0,0),0)),$F$1=$U$1,INDEX($T$2:$T$100,MATCH(0,INDEX(COUNTIF($E$1:$E26,$T$2:$T$100)+(COUNTIF($T$2:$T$100,$T$2:$T$100)&lt;&gt;1),0,0),0)),$F$1=$W$1,INDEX($V$2:$V$100,MATCH(0,INDEX(COUNTIF($E$1:$E26,$V$2:$V$100)+(COUNTIF($V$2:$V$100,$V$2:$V$100)&lt;&gt;1),0,0),0)),$F$1=$Y$1,INDEX($X$2:$X$100,MATCH(0,INDEX(COUNTIF($E$1:$E26,$X$2:$X$100)+(COUNTIF($X$2:$X$100,$X$2:$X$100)&lt;&gt;1),0,0),0)),$F$1=$AA$1,INDEX($Z$2:$Z$100,MATCH(0,INDEX(COUNTIF($E$1:$E26,$Z$2:$Z$100)+(COUNTIF($Z$2:$Z$100,$Z$2:$Z$100)&lt;&gt;1),0,0),0)),TRUE,"")),$E$1="GENINTEGRATION 22 Attributes",INDEX($H$2:$H$100,MATCH(0,INDEX(COUNTIF($E$1:$E26,$H$2:$H$100)+(COUNTIF($H$2:$H$100,$H$2:$H$100)&lt;&gt;1),0,0),0)),TRUE,""),"")</f>
        <v>resource_link_description</v>
      </c>
      <c r="F27" s="213" t="str" cm="1">
        <f t="array" ref="F27">IFERROR(_xlfn.IFS($F$1=$Q$1,_xlfn.XLOOKUP($E27,$P$2:$P$100,Q$2:Q$100)&amp;"",$F$1=$S$1,_xlfn.XLOOKUP($E27,$R$2:$R$100,$S$2:$S$100)&amp;"",$F$1=$Y$1,_xlfn.XLOOKUP($E27,$X$2:$X$100,$Y$2:$Y$100)&amp;"",$F$1=$U$1,_xlfn.XLOOKUP($E27,$T$2:$T$100,$U$2:$U$100)&amp;"",$F$1=$W$1,_xlfn.XLOOKUP($E27,$V$2:$V$100,$W$2:$W$100)&amp;"",$F$1=$AA$1,_xlfn.XLOOKUP($E27,$Z$2:$Z$100,$AA$2:$AA$100)&amp;"",TRUE, ""),"")</f>
        <v>https://purl.demodata7.org/spec/GENINTEGRATION/clPRODUCT4 m/resource_link|description</v>
      </c>
      <c r="G27" s="215" t="str" cm="1">
        <f t="array" ref="G27">IFERROR(IF($F27&lt;&gt;"",_xlfn.IFS($F$1="LM7 31 ClPRODUCT4 ms","LM7",$F$1="LMS1 31 ClPRODUCT4 ms","CV",$F$1="LMS2 31 ClPRODUCT4 ms","CL",$F$1="LMS5 31 ClPRODUCT4 ms","JZ",$F$1="LMS8 31 ClPRODUCT4 ms","DL",$F$1="LMS6 31 ClPRODUCT4 ms","MD",TRUE, ""),IF(AND($E$1="GENINTEGRATION 22 Attributes",$E27&lt;&gt;""),"22","")),"")</f>
        <v>CV</v>
      </c>
      <c r="H27" s="21" t="s">
        <v>784</v>
      </c>
      <c r="I27" s="21" t="s">
        <v>785</v>
      </c>
      <c r="J27" s="229" t="s">
        <v>48</v>
      </c>
      <c r="K27" s="229" t="s">
        <v>48</v>
      </c>
      <c r="L27" s="229" t="s">
        <v>48</v>
      </c>
      <c r="M27" s="229" t="s">
        <v>48</v>
      </c>
      <c r="N27" s="229" t="s">
        <v>48</v>
      </c>
      <c r="O27" s="229" t="s">
        <v>48</v>
      </c>
      <c r="P27" s="230" t="str">
        <f t="shared" si="12"/>
        <v>GENINTEGRATION_version</v>
      </c>
      <c r="Q27" s="222" t="str">
        <f t="shared" si="1"/>
        <v>https://purl.demodata7.org/spec/GENINTEGRATION/clPRODUCT4 m/version</v>
      </c>
      <c r="R27" s="230" t="str">
        <f t="shared" si="2"/>
        <v>GENINTEGRATION_version</v>
      </c>
      <c r="S27" s="222" t="str">
        <f t="shared" si="3"/>
        <v>https://purl.demodata7.org/spec/GENINTEGRATION/clPRODUCT4 m/version</v>
      </c>
      <c r="T27" s="230" t="str">
        <f t="shared" si="4"/>
        <v>GENINTEGRATION_version</v>
      </c>
      <c r="U27" s="222" t="str">
        <f t="shared" si="5"/>
        <v>https://purl.demodata7.org/spec/GENINTEGRATION/clPRODUCT4 m/version</v>
      </c>
      <c r="V27" s="230" t="str">
        <f t="shared" si="6"/>
        <v>GENINTEGRATION_version</v>
      </c>
      <c r="W27" s="222" t="str">
        <f t="shared" si="7"/>
        <v>https://purl.demodata7.org/spec/GENINTEGRATION/clPRODUCT4 m/version</v>
      </c>
      <c r="X27" s="230" t="str">
        <f t="shared" si="8"/>
        <v>GENINTEGRATION_version</v>
      </c>
      <c r="Y27" s="222" t="str">
        <f t="shared" si="9"/>
        <v>https://purl.demodata7.org/spec/GENINTEGRATION/clPRODUCT4 m/version</v>
      </c>
      <c r="Z27" s="230" t="str">
        <f t="shared" si="10"/>
        <v>GENINTEGRATION_version</v>
      </c>
      <c r="AA27" s="222" t="str">
        <f t="shared" si="11"/>
        <v>https://purl.demodata7.org/spec/GENINTEGRATION/clPRODUCT4 m/version</v>
      </c>
    </row>
    <row r="28" spans="1:30" ht="20.100000000000001" customHeight="1" x14ac:dyDescent="0.55000000000000004">
      <c r="A28" s="219" t="str" cm="1">
        <f t="array" ref="A28">IFERROR(_xlfn.IFS($A$13=$AC$1,"",$A$13=$AC$10,$AC25,TRUE,""),"")</f>
        <v>To</v>
      </c>
      <c r="B28" s="803" t="str" cm="1">
        <f t="array" ref="B28">IFERROR(_xlfn.IFS($A$13=$AC$1,"",$A$13=$AC$10,$AD25,TRUE,""),"")</f>
        <v>https://purl.demodata7.org/spec/GENINTEGRATION/clPRODUCT4 m/custom|custom_ap</v>
      </c>
      <c r="C28" s="803"/>
      <c r="E28" s="217" t="str" cm="1">
        <f t="array" ref="E28">IFERROR(_xlfn.IFS($E$1="GENINTEGRATION 22 Parameters",(_xlfn.IFS($F$1=$Q$1,INDEX($P$2:$P$100,MATCH(0,INDEX(COUNTIF($E$1:$E27,$P$2:$P$100)+(COUNTIF($P$2:$P$100,$P$2:$P$100)&lt;&gt;1),0,0),0)),$F$1=$S$1,INDEX($R$2:$R$100,MATCH(0,INDEX(COUNTIF($E$1:$E27,$R$2:$R$100)+(COUNTIF($R$2:$R$100,$R$2:$R$100)&lt;&gt;1),0,0),0)),$F$1=$U$1,INDEX($T$2:$T$100,MATCH(0,INDEX(COUNTIF($E$1:$E27,$T$2:$T$100)+(COUNTIF($T$2:$T$100,$T$2:$T$100)&lt;&gt;1),0,0),0)),$F$1=$W$1,INDEX($V$2:$V$100,MATCH(0,INDEX(COUNTIF($E$1:$E27,$V$2:$V$100)+(COUNTIF($V$2:$V$100,$V$2:$V$100)&lt;&gt;1),0,0),0)),$F$1=$Y$1,INDEX($X$2:$X$100,MATCH(0,INDEX(COUNTIF($E$1:$E27,$X$2:$X$100)+(COUNTIF($X$2:$X$100,$X$2:$X$100)&lt;&gt;1),0,0),0)),$F$1=$AA$1,INDEX($Z$2:$Z$100,MATCH(0,INDEX(COUNTIF($E$1:$E27,$Z$2:$Z$100)+(COUNTIF($Z$2:$Z$100,$Z$2:$Z$100)&lt;&gt;1),0,0),0)),TRUE,"")),$E$1="GENINTEGRATION 22 Attributes",INDEX($H$2:$H$100,MATCH(0,INDEX(COUNTIF($E$1:$E27,$H$2:$H$100)+(COUNTIF($H$2:$H$100,$H$2:$H$100)&lt;&gt;1),0,0),0)),TRUE,""),"")</f>
        <v>resource_link_id</v>
      </c>
      <c r="F28" s="213" t="str" cm="1">
        <f t="array" ref="F28">IFERROR(_xlfn.IFS($F$1=$Q$1,_xlfn.XLOOKUP($E28,$P$2:$P$100,Q$2:Q$100)&amp;"",$F$1=$S$1,_xlfn.XLOOKUP($E28,$R$2:$R$100,$S$2:$S$100)&amp;"",$F$1=$Y$1,_xlfn.XLOOKUP($E28,$X$2:$X$100,$Y$2:$Y$100)&amp;"",$F$1=$U$1,_xlfn.XLOOKUP($E28,$T$2:$T$100,$U$2:$U$100)&amp;"",$F$1=$W$1,_xlfn.XLOOKUP($E28,$V$2:$V$100,$W$2:$W$100)&amp;"",$F$1=$AA$1,_xlfn.XLOOKUP($E28,$Z$2:$Z$100,$AA$2:$AA$100)&amp;"",TRUE, ""),"")</f>
        <v>https://purl.demodata7.org/spec/GENINTEGRATION/clPRODUCT4 m/resource_link|id</v>
      </c>
      <c r="G28" s="215" t="str" cm="1">
        <f t="array" ref="G28">IFERROR(IF($F28&lt;&gt;"",_xlfn.IFS($F$1="LM7 31 ClPRODUCT4 ms","LM7",$F$1="LMS1 31 ClPRODUCT4 ms","CV",$F$1="LMS2 31 ClPRODUCT4 ms","CL",$F$1="LMS5 31 ClPRODUCT4 ms","JZ",$F$1="LMS8 31 ClPRODUCT4 ms","DL",$F$1="LMS6 31 ClPRODUCT4 ms","MD",TRUE, ""),IF(AND($E$1="GENINTEGRATION 22 Attributes",$E28&lt;&gt;""),"22","")),"")</f>
        <v>CV</v>
      </c>
      <c r="H28" s="21" t="s">
        <v>111</v>
      </c>
      <c r="I28" s="21" t="s">
        <v>786</v>
      </c>
      <c r="J28" s="229" t="s">
        <v>48</v>
      </c>
      <c r="K28" s="229" t="s">
        <v>48</v>
      </c>
      <c r="L28" s="229" t="s">
        <v>48</v>
      </c>
      <c r="M28" s="229" t="s">
        <v>48</v>
      </c>
      <c r="N28" s="229" t="s">
        <v>48</v>
      </c>
      <c r="O28" s="229" t="s">
        <v>48</v>
      </c>
      <c r="P28" s="230" t="str">
        <f t="shared" si="12"/>
        <v>resource_link_description</v>
      </c>
      <c r="Q28" s="222" t="str">
        <f t="shared" si="1"/>
        <v>https://purl.demodata7.org/spec/GENINTEGRATION/clPRODUCT4 m/resource_link|description</v>
      </c>
      <c r="R28" s="230" t="str">
        <f t="shared" si="2"/>
        <v>resource_link_description</v>
      </c>
      <c r="S28" s="222" t="str">
        <f t="shared" si="3"/>
        <v>https://purl.demodata7.org/spec/GENINTEGRATION/clPRODUCT4 m/resource_link|description</v>
      </c>
      <c r="T28" s="230" t="str">
        <f t="shared" si="4"/>
        <v>resource_link_description</v>
      </c>
      <c r="U28" s="222" t="str">
        <f t="shared" si="5"/>
        <v>https://purl.demodata7.org/spec/GENINTEGRATION/clPRODUCT4 m/resource_link|description</v>
      </c>
      <c r="V28" s="230" t="str">
        <f t="shared" si="6"/>
        <v>resource_link_description</v>
      </c>
      <c r="W28" s="222" t="str">
        <f t="shared" si="7"/>
        <v>https://purl.demodata7.org/spec/GENINTEGRATION/clPRODUCT4 m/resource_link|description</v>
      </c>
      <c r="X28" s="230" t="str">
        <f t="shared" si="8"/>
        <v>resource_link_description</v>
      </c>
      <c r="Y28" s="222" t="str">
        <f t="shared" si="9"/>
        <v>https://purl.demodata7.org/spec/GENINTEGRATION/clPRODUCT4 m/resource_link|description</v>
      </c>
      <c r="Z28" s="230" t="str">
        <f t="shared" si="10"/>
        <v>resource_link_description</v>
      </c>
      <c r="AA28" s="222" t="str">
        <f t="shared" si="11"/>
        <v>https://purl.demodata7.org/spec/GENINTEGRATION/clPRODUCT4 m/resource_link|description</v>
      </c>
    </row>
    <row r="29" spans="1:30" ht="20.100000000000001" customHeight="1" x14ac:dyDescent="0.55000000000000004">
      <c r="A29" s="217"/>
      <c r="E29" s="217" t="str" cm="1">
        <f t="array" ref="E29">IFERROR(_xlfn.IFS($E$1="GENINTEGRATION 22 Parameters",(_xlfn.IFS($F$1=$Q$1,INDEX($P$2:$P$100,MATCH(0,INDEX(COUNTIF($E$1:$E28,$P$2:$P$100)+(COUNTIF($P$2:$P$100,$P$2:$P$100)&lt;&gt;1),0,0),0)),$F$1=$S$1,INDEX($R$2:$R$100,MATCH(0,INDEX(COUNTIF($E$1:$E28,$R$2:$R$100)+(COUNTIF($R$2:$R$100,$R$2:$R$100)&lt;&gt;1),0,0),0)),$F$1=$U$1,INDEX($T$2:$T$100,MATCH(0,INDEX(COUNTIF($E$1:$E28,$T$2:$T$100)+(COUNTIF($T$2:$T$100,$T$2:$T$100)&lt;&gt;1),0,0),0)),$F$1=$W$1,INDEX($V$2:$V$100,MATCH(0,INDEX(COUNTIF($E$1:$E28,$V$2:$V$100)+(COUNTIF($V$2:$V$100,$V$2:$V$100)&lt;&gt;1),0,0),0)),$F$1=$Y$1,INDEX($X$2:$X$100,MATCH(0,INDEX(COUNTIF($E$1:$E28,$X$2:$X$100)+(COUNTIF($X$2:$X$100,$X$2:$X$100)&lt;&gt;1),0,0),0)),$F$1=$AA$1,INDEX($Z$2:$Z$100,MATCH(0,INDEX(COUNTIF($E$1:$E28,$Z$2:$Z$100)+(COUNTIF($Z$2:$Z$100,$Z$2:$Z$100)&lt;&gt;1),0,0),0)),TRUE,"")),$E$1="GENINTEGRATION 22 Attributes",INDEX($H$2:$H$100,MATCH(0,INDEX(COUNTIF($E$1:$E28,$H$2:$H$100)+(COUNTIF($H$2:$H$100,$H$2:$H$100)&lt;&gt;1),0,0),0)),TRUE,""),"")</f>
        <v>resource_link_title</v>
      </c>
      <c r="F29" s="213" t="str" cm="1">
        <f t="array" ref="F29">IFERROR(_xlfn.IFS($F$1=$Q$1,_xlfn.XLOOKUP($E29,$P$2:$P$100,Q$2:Q$100)&amp;"",$F$1=$S$1,_xlfn.XLOOKUP($E29,$R$2:$R$100,$S$2:$S$100)&amp;"",$F$1=$Y$1,_xlfn.XLOOKUP($E29,$X$2:$X$100,$Y$2:$Y$100)&amp;"",$F$1=$U$1,_xlfn.XLOOKUP($E29,$T$2:$T$100,$U$2:$U$100)&amp;"",$F$1=$W$1,_xlfn.XLOOKUP($E29,$V$2:$V$100,$W$2:$W$100)&amp;"",$F$1=$AA$1,_xlfn.XLOOKUP($E29,$Z$2:$Z$100,$AA$2:$AA$100)&amp;"",TRUE, ""),"")</f>
        <v>https://purl.demodata7.org/spec/GENINTEGRATION/clPRODUCT4 m/resource_link|title</v>
      </c>
      <c r="G29" s="215" t="str" cm="1">
        <f t="array" ref="G29">IFERROR(IF($F29&lt;&gt;"",_xlfn.IFS($F$1="LM7 31 ClPRODUCT4 ms","LM7",$F$1="LMS1 31 ClPRODUCT4 ms","CV",$F$1="LMS2 31 ClPRODUCT4 ms","CL",$F$1="LMS5 31 ClPRODUCT4 ms","JZ",$F$1="LMS8 31 ClPRODUCT4 ms","DL",$F$1="LMS6 31 ClPRODUCT4 ms","MD",TRUE, ""),IF(AND($E$1="GENINTEGRATION 22 Attributes",$E29&lt;&gt;""),"22","")),"")</f>
        <v>CV</v>
      </c>
      <c r="H29" s="21" t="s">
        <v>112</v>
      </c>
      <c r="I29" s="21" t="s">
        <v>787</v>
      </c>
      <c r="J29" s="229" t="s">
        <v>48</v>
      </c>
      <c r="K29" s="229" t="s">
        <v>48</v>
      </c>
      <c r="L29" s="229" t="s">
        <v>48</v>
      </c>
      <c r="M29" s="229" t="s">
        <v>48</v>
      </c>
      <c r="N29" s="229" t="s">
        <v>48</v>
      </c>
      <c r="O29" s="229" t="s">
        <v>48</v>
      </c>
      <c r="P29" s="230" t="str">
        <f t="shared" si="12"/>
        <v>resource_link_id</v>
      </c>
      <c r="Q29" s="222" t="str">
        <f t="shared" si="1"/>
        <v>https://purl.demodata7.org/spec/GENINTEGRATION/clPRODUCT4 m/resource_link|id</v>
      </c>
      <c r="R29" s="230" t="str">
        <f t="shared" si="2"/>
        <v>resource_link_id</v>
      </c>
      <c r="S29" s="222" t="str">
        <f t="shared" si="3"/>
        <v>https://purl.demodata7.org/spec/GENINTEGRATION/clPRODUCT4 m/resource_link|id</v>
      </c>
      <c r="T29" s="230" t="str">
        <f t="shared" si="4"/>
        <v>resource_link_id</v>
      </c>
      <c r="U29" s="222" t="str">
        <f t="shared" si="5"/>
        <v>https://purl.demodata7.org/spec/GENINTEGRATION/clPRODUCT4 m/resource_link|id</v>
      </c>
      <c r="V29" s="230" t="str">
        <f t="shared" si="6"/>
        <v>resource_link_id</v>
      </c>
      <c r="W29" s="222" t="str">
        <f t="shared" si="7"/>
        <v>https://purl.demodata7.org/spec/GENINTEGRATION/clPRODUCT4 m/resource_link|id</v>
      </c>
      <c r="X29" s="230" t="str">
        <f t="shared" si="8"/>
        <v>resource_link_id</v>
      </c>
      <c r="Y29" s="222" t="str">
        <f t="shared" si="9"/>
        <v>https://purl.demodata7.org/spec/GENINTEGRATION/clPRODUCT4 m/resource_link|id</v>
      </c>
      <c r="Z29" s="230" t="str">
        <f t="shared" si="10"/>
        <v>resource_link_id</v>
      </c>
      <c r="AA29" s="222" t="str">
        <f t="shared" si="11"/>
        <v>https://purl.demodata7.org/spec/GENINTEGRATION/clPRODUCT4 m/resource_link|id</v>
      </c>
    </row>
    <row r="30" spans="1:30" ht="20.100000000000001" customHeight="1" x14ac:dyDescent="0.55000000000000004">
      <c r="E30" s="217" t="str" cm="1">
        <f t="array" ref="E30">IFERROR(_xlfn.IFS($E$1="GENINTEGRATION 22 Parameters",(_xlfn.IFS($F$1=$Q$1,INDEX($P$2:$P$100,MATCH(0,INDEX(COUNTIF($E$1:$E29,$P$2:$P$100)+(COUNTIF($P$2:$P$100,$P$2:$P$100)&lt;&gt;1),0,0),0)),$F$1=$S$1,INDEX($R$2:$R$100,MATCH(0,INDEX(COUNTIF($E$1:$E29,$R$2:$R$100)+(COUNTIF($R$2:$R$100,$R$2:$R$100)&lt;&gt;1),0,0),0)),$F$1=$U$1,INDEX($T$2:$T$100,MATCH(0,INDEX(COUNTIF($E$1:$E29,$T$2:$T$100)+(COUNTIF($T$2:$T$100,$T$2:$T$100)&lt;&gt;1),0,0),0)),$F$1=$W$1,INDEX($V$2:$V$100,MATCH(0,INDEX(COUNTIF($E$1:$E29,$V$2:$V$100)+(COUNTIF($V$2:$V$100,$V$2:$V$100)&lt;&gt;1),0,0),0)),$F$1=$Y$1,INDEX($X$2:$X$100,MATCH(0,INDEX(COUNTIF($E$1:$E29,$X$2:$X$100)+(COUNTIF($X$2:$X$100,$X$2:$X$100)&lt;&gt;1),0,0),0)),$F$1=$AA$1,INDEX($Z$2:$Z$100,MATCH(0,INDEX(COUNTIF($E$1:$E29,$Z$2:$Z$100)+(COUNTIF($Z$2:$Z$100,$Z$2:$Z$100)&lt;&gt;1),0,0),0)),TRUE,"")),$E$1="GENINTEGRATION 22 Attributes",INDEX($H$2:$H$100,MATCH(0,INDEX(COUNTIF($E$1:$E29,$H$2:$H$100)+(COUNTIF($H$2:$H$100,$H$2:$H$100)&lt;&gt;1),0,0),0)),TRUE,""),"")</f>
        <v>role_scope_mentor</v>
      </c>
      <c r="F30" s="213" t="str" cm="1">
        <f t="array" ref="F30">IFERROR(_xlfn.IFS($F$1=$Q$1,_xlfn.XLOOKUP($E30,$P$2:$P$100,Q$2:Q$100)&amp;"",$F$1=$S$1,_xlfn.XLOOKUP($E30,$R$2:$R$100,$S$2:$S$100)&amp;"",$F$1=$Y$1,_xlfn.XLOOKUP($E30,$X$2:$X$100,$Y$2:$Y$100)&amp;"",$F$1=$U$1,_xlfn.XLOOKUP($E30,$T$2:$T$100,$U$2:$U$100)&amp;"",$F$1=$W$1,_xlfn.XLOOKUP($E30,$V$2:$V$100,$W$2:$W$100)&amp;"",$F$1=$AA$1,_xlfn.XLOOKUP($E30,$Z$2:$Z$100,$AA$2:$AA$100)&amp;"",TRUE, ""),"")</f>
        <v>https://purldemodata7.org/spec/GENINTEGRATION/clPRODUCT4 m/role_scope_mentor</v>
      </c>
      <c r="G30" s="215" t="str" cm="1">
        <f t="array" ref="G30">IFERROR(IF($F30&lt;&gt;"",_xlfn.IFS($F$1="LM7 31 ClPRODUCT4 ms","LM7",$F$1="LMS1 31 ClPRODUCT4 ms","CV",$F$1="LMS2 31 ClPRODUCT4 ms","CL",$F$1="LMS5 31 ClPRODUCT4 ms","JZ",$F$1="LMS8 31 ClPRODUCT4 ms","DL",$F$1="LMS6 31 ClPRODUCT4 ms","MD",TRUE, ""),IF(AND($E$1="GENINTEGRATION 22 Attributes",$E30&lt;&gt;""),"22","")),"")</f>
        <v>CV</v>
      </c>
      <c r="H30" s="21" t="s">
        <v>113</v>
      </c>
      <c r="I30" s="21" t="s">
        <v>788</v>
      </c>
      <c r="J30" s="229" t="s">
        <v>48</v>
      </c>
      <c r="K30" s="229" t="s">
        <v>48</v>
      </c>
      <c r="L30" s="229" t="s">
        <v>48</v>
      </c>
      <c r="M30" s="229" t="s">
        <v>48</v>
      </c>
      <c r="N30" s="229" t="s">
        <v>48</v>
      </c>
      <c r="O30" s="229" t="s">
        <v>48</v>
      </c>
      <c r="P30" s="230" t="str">
        <f t="shared" si="12"/>
        <v>resource_link_title</v>
      </c>
      <c r="Q30" s="222" t="str">
        <f t="shared" si="1"/>
        <v>https://purl.demodata7.org/spec/GENINTEGRATION/clPRODUCT4 m/resource_link|title</v>
      </c>
      <c r="R30" s="230" t="str">
        <f t="shared" si="2"/>
        <v>resource_link_title</v>
      </c>
      <c r="S30" s="222" t="str">
        <f t="shared" si="3"/>
        <v>https://purl.demodata7.org/spec/GENINTEGRATION/clPRODUCT4 m/resource_link|title</v>
      </c>
      <c r="T30" s="230" t="str">
        <f t="shared" si="4"/>
        <v>resource_link_title</v>
      </c>
      <c r="U30" s="222" t="str">
        <f t="shared" si="5"/>
        <v>https://purl.demodata7.org/spec/GENINTEGRATION/clPRODUCT4 m/resource_link|title</v>
      </c>
      <c r="V30" s="230" t="str">
        <f t="shared" si="6"/>
        <v>resource_link_title</v>
      </c>
      <c r="W30" s="222" t="str">
        <f t="shared" si="7"/>
        <v>https://purl.demodata7.org/spec/GENINTEGRATION/clPRODUCT4 m/resource_link|title</v>
      </c>
      <c r="X30" s="230" t="str">
        <f t="shared" si="8"/>
        <v>resource_link_title</v>
      </c>
      <c r="Y30" s="222" t="str">
        <f t="shared" si="9"/>
        <v>https://purl.demodata7.org/spec/GENINTEGRATION/clPRODUCT4 m/resource_link|title</v>
      </c>
      <c r="Z30" s="230" t="str">
        <f t="shared" si="10"/>
        <v>resource_link_title</v>
      </c>
      <c r="AA30" s="222" t="str">
        <f t="shared" si="11"/>
        <v>https://purl.demodata7.org/spec/GENINTEGRATION/clPRODUCT4 m/resource_link|title</v>
      </c>
    </row>
    <row r="31" spans="1:30" ht="20.100000000000001" customHeight="1" x14ac:dyDescent="0.55000000000000004">
      <c r="E31" s="217" t="str" cm="1">
        <f t="array" ref="E31">IFERROR(_xlfn.IFS($E$1="GENINTEGRATION 22 Parameters",(_xlfn.IFS($F$1=$Q$1,INDEX($P$2:$P$100,MATCH(0,INDEX(COUNTIF($E$1:$E30,$P$2:$P$100)+(COUNTIF($P$2:$P$100,$P$2:$P$100)&lt;&gt;1),0,0),0)),$F$1=$S$1,INDEX($R$2:$R$100,MATCH(0,INDEX(COUNTIF($E$1:$E30,$R$2:$R$100)+(COUNTIF($R$2:$R$100,$R$2:$R$100)&lt;&gt;1),0,0),0)),$F$1=$U$1,INDEX($T$2:$T$100,MATCH(0,INDEX(COUNTIF($E$1:$E30,$T$2:$T$100)+(COUNTIF($T$2:$T$100,$T$2:$T$100)&lt;&gt;1),0,0),0)),$F$1=$W$1,INDEX($V$2:$V$100,MATCH(0,INDEX(COUNTIF($E$1:$E30,$V$2:$V$100)+(COUNTIF($V$2:$V$100,$V$2:$V$100)&lt;&gt;1),0,0),0)),$F$1=$Y$1,INDEX($X$2:$X$100,MATCH(0,INDEX(COUNTIF($E$1:$E30,$X$2:$X$100)+(COUNTIF($X$2:$X$100,$X$2:$X$100)&lt;&gt;1),0,0),0)),$F$1=$AA$1,INDEX($Z$2:$Z$100,MATCH(0,INDEX(COUNTIF($E$1:$E30,$Z$2:$Z$100)+(COUNTIF($Z$2:$Z$100,$Z$2:$Z$100)&lt;&gt;1),0,0),0)),TRUE,"")),$E$1="GENINTEGRATION 22 Attributes",INDEX($H$2:$H$100,MATCH(0,INDEX(COUNTIF($E$1:$E30,$H$2:$H$100)+(COUNTIF($H$2:$H$100,$H$2:$H$100)&lt;&gt;1),0,0),0)),TRUE,""),"")</f>
        <v>roles (student)</v>
      </c>
      <c r="F31" s="213" t="str" cm="1">
        <f t="array" ref="F31">IFERROR(_xlfn.IFS($F$1=$Q$1,_xlfn.XLOOKUP($E31,$P$2:$P$100,Q$2:Q$100)&amp;"",$F$1=$S$1,_xlfn.XLOOKUP($E31,$R$2:$R$100,$S$2:$S$100)&amp;"",$F$1=$Y$1,_xlfn.XLOOKUP($E31,$X$2:$X$100,$Y$2:$Y$100)&amp;"",$F$1=$U$1,_xlfn.XLOOKUP($E31,$T$2:$T$100,$U$2:$U$100)&amp;"",$F$1=$W$1,_xlfn.XLOOKUP($E31,$V$2:$V$100,$W$2:$W$100)&amp;"",$F$1=$AA$1,_xlfn.XLOOKUP($E31,$Z$2:$Z$100,$AA$2:$AA$100)&amp;"",TRUE, ""),"")</f>
        <v>http://purl.demodata7.org/vocab/lis/v2/institution/person#Student</v>
      </c>
      <c r="G31" s="215" t="str" cm="1">
        <f t="array" ref="G31">IFERROR(IF($F31&lt;&gt;"",_xlfn.IFS($F$1="LM7 31 ClPRODUCT4 ms","LM7",$F$1="LMS1 31 ClPRODUCT4 ms","CV",$F$1="LMS2 31 ClPRODUCT4 ms","CL",$F$1="LMS5 31 ClPRODUCT4 ms","JZ",$F$1="LMS8 31 ClPRODUCT4 ms","DL",$F$1="LMS6 31 ClPRODUCT4 ms","MD",TRUE, ""),IF(AND($E$1="GENINTEGRATION 22 Attributes",$E31&lt;&gt;""),"22","")),"")</f>
        <v>CV</v>
      </c>
      <c r="H31" s="21" t="s">
        <v>114</v>
      </c>
      <c r="I31" s="21" t="s">
        <v>789</v>
      </c>
      <c r="J31" s="229" t="s">
        <v>48</v>
      </c>
      <c r="K31" s="229" t="s">
        <v>48</v>
      </c>
      <c r="L31" s="229" t="s">
        <v>48</v>
      </c>
      <c r="M31" s="229" t="s">
        <v>48</v>
      </c>
      <c r="N31" s="229" t="s">
        <v>48</v>
      </c>
      <c r="O31" s="229" t="s">
        <v>48</v>
      </c>
      <c r="P31" s="230" t="str">
        <f t="shared" si="12"/>
        <v>role_scope_mentor</v>
      </c>
      <c r="Q31" s="222" t="str">
        <f t="shared" si="1"/>
        <v>https://purldemodata7.org/spec/GENINTEGRATION/clPRODUCT4 m/role_scope_mentor</v>
      </c>
      <c r="R31" s="230" t="str">
        <f t="shared" si="2"/>
        <v>role_scope_mentor</v>
      </c>
      <c r="S31" s="222" t="str">
        <f t="shared" si="3"/>
        <v>https://purldemodata7.org/spec/GENINTEGRATION/clPRODUCT4 m/role_scope_mentor</v>
      </c>
      <c r="T31" s="230" t="str">
        <f t="shared" si="4"/>
        <v>role_scope_mentor</v>
      </c>
      <c r="U31" s="222" t="str">
        <f t="shared" si="5"/>
        <v>https://purldemodata7.org/spec/GENINTEGRATION/clPRODUCT4 m/role_scope_mentor</v>
      </c>
      <c r="V31" s="230" t="str">
        <f t="shared" si="6"/>
        <v>role_scope_mentor</v>
      </c>
      <c r="W31" s="222" t="str">
        <f t="shared" si="7"/>
        <v>https://purldemodata7.org/spec/GENINTEGRATION/clPRODUCT4 m/role_scope_mentor</v>
      </c>
      <c r="X31" s="230" t="str">
        <f t="shared" si="8"/>
        <v>role_scope_mentor</v>
      </c>
      <c r="Y31" s="222" t="str">
        <f t="shared" si="9"/>
        <v>https://purldemodata7.org/spec/GENINTEGRATION/clPRODUCT4 m/role_scope_mentor</v>
      </c>
      <c r="Z31" s="230" t="str">
        <f t="shared" si="10"/>
        <v>role_scope_mentor</v>
      </c>
      <c r="AA31" s="222" t="str">
        <f t="shared" si="11"/>
        <v>https://purldemodata7.org/spec/GENINTEGRATION/clPRODUCT4 m/role_scope_mentor</v>
      </c>
    </row>
    <row r="32" spans="1:30" ht="20.100000000000001" customHeight="1" x14ac:dyDescent="0.55000000000000004">
      <c r="E32" s="217" t="str" cm="1">
        <f t="array" ref="E32">IFERROR(_xlfn.IFS($E$1="GENINTEGRATION 22 Parameters",(_xlfn.IFS($F$1=$Q$1,INDEX($P$2:$P$100,MATCH(0,INDEX(COUNTIF($E$1:$E31,$P$2:$P$100)+(COUNTIF($P$2:$P$100,$P$2:$P$100)&lt;&gt;1),0,0),0)),$F$1=$S$1,INDEX($R$2:$R$100,MATCH(0,INDEX(COUNTIF($E$1:$E31,$R$2:$R$100)+(COUNTIF($R$2:$R$100,$R$2:$R$100)&lt;&gt;1),0,0),0)),$F$1=$U$1,INDEX($T$2:$T$100,MATCH(0,INDEX(COUNTIF($E$1:$E31,$T$2:$T$100)+(COUNTIF($T$2:$T$100,$T$2:$T$100)&lt;&gt;1),0,0),0)),$F$1=$W$1,INDEX($V$2:$V$100,MATCH(0,INDEX(COUNTIF($E$1:$E31,$V$2:$V$100)+(COUNTIF($V$2:$V$100,$V$2:$V$100)&lt;&gt;1),0,0),0)),$F$1=$Y$1,INDEX($X$2:$X$100,MATCH(0,INDEX(COUNTIF($E$1:$E31,$X$2:$X$100)+(COUNTIF($X$2:$X$100,$X$2:$X$100)&lt;&gt;1),0,0),0)),$F$1=$AA$1,INDEX($Z$2:$Z$100,MATCH(0,INDEX(COUNTIF($E$1:$E31,$Z$2:$Z$100)+(COUNTIF($Z$2:$Z$100,$Z$2:$Z$100)&lt;&gt;1),0,0),0)),TRUE,"")),$E$1="GENINTEGRATION 22 Attributes",INDEX($H$2:$H$100,MATCH(0,INDEX(COUNTIF($E$1:$E31,$H$2:$H$100)+(COUNTIF($H$2:$H$100,$H$2:$H$100)&lt;&gt;1),0,0),0)),TRUE,""),"")</f>
        <v>roles {1-First}</v>
      </c>
      <c r="F32" s="213" t="str" cm="1">
        <f t="array" ref="F32">IFERROR(_xlfn.IFS($F$1=$Q$1,_xlfn.XLOOKUP($E32,$P$2:$P$100,Q$2:Q$100)&amp;"",$F$1=$S$1,_xlfn.XLOOKUP($E32,$R$2:$R$100,$S$2:$S$100)&amp;"",$F$1=$Y$1,_xlfn.XLOOKUP($E32,$X$2:$X$100,$Y$2:$Y$100)&amp;"",$F$1=$U$1,_xlfn.XLOOKUP($E32,$T$2:$T$100,$U$2:$U$100)&amp;"",$F$1=$W$1,_xlfn.XLOOKUP($E32,$V$2:$V$100,$W$2:$W$100)&amp;"",$F$1=$AA$1,_xlfn.XLOOKUP($E32,$Z$2:$Z$100,$AA$2:$AA$100)&amp;"",TRUE, ""),"")</f>
        <v>https://purl.demodata7.org/spec/GENINTEGRATION/clPRODUCT4 m/roles|0</v>
      </c>
      <c r="G32" s="215" t="str" cm="1">
        <f t="array" ref="G32">IFERROR(IF($F32&lt;&gt;"",_xlfn.IFS($F$1="LM7 31 ClPRODUCT4 ms","LM7",$F$1="LMS1 31 ClPRODUCT4 ms","CV",$F$1="LMS2 31 ClPRODUCT4 ms","CL",$F$1="LMS5 31 ClPRODUCT4 ms","JZ",$F$1="LMS8 31 ClPRODUCT4 ms","DL",$F$1="LMS6 31 ClPRODUCT4 ms","MD",TRUE, ""),IF(AND($E$1="GENINTEGRATION 22 Attributes",$E32&lt;&gt;""),"22","")),"")</f>
        <v>CV</v>
      </c>
      <c r="H32" s="21" t="s">
        <v>115</v>
      </c>
      <c r="I32" s="21" t="s">
        <v>651</v>
      </c>
      <c r="J32" s="229" t="s">
        <v>42</v>
      </c>
      <c r="K32" s="229" t="s">
        <v>42</v>
      </c>
      <c r="L32" s="229" t="s">
        <v>48</v>
      </c>
      <c r="M32" s="229" t="s">
        <v>42</v>
      </c>
      <c r="N32" s="229" t="s">
        <v>48</v>
      </c>
      <c r="O32" s="229" t="s">
        <v>48</v>
      </c>
      <c r="P32" s="230" t="str">
        <f t="shared" si="12"/>
        <v/>
      </c>
      <c r="Q32" s="222" t="str">
        <f t="shared" si="1"/>
        <v/>
      </c>
      <c r="R32" s="230" t="str">
        <f t="shared" si="2"/>
        <v/>
      </c>
      <c r="S32" s="222" t="str">
        <f t="shared" si="3"/>
        <v/>
      </c>
      <c r="T32" s="230" t="str">
        <f t="shared" si="4"/>
        <v>roles (member)</v>
      </c>
      <c r="U32" s="222" t="str">
        <f t="shared" si="5"/>
        <v>http://purl.demodata7.org/vocab/lis/v2/institution/membership#Member</v>
      </c>
      <c r="V32" s="230" t="str">
        <f t="shared" si="6"/>
        <v/>
      </c>
      <c r="W32" s="222" t="str">
        <f t="shared" si="7"/>
        <v/>
      </c>
      <c r="X32" s="230" t="str">
        <f t="shared" si="8"/>
        <v>roles (member)</v>
      </c>
      <c r="Y32" s="222" t="str">
        <f t="shared" si="9"/>
        <v>http://purl.demodata7.org/vocab/lis/v2/institution/membership#Member</v>
      </c>
      <c r="Z32" s="230" t="str">
        <f t="shared" si="10"/>
        <v>roles (member)</v>
      </c>
      <c r="AA32" s="222" t="str">
        <f t="shared" si="11"/>
        <v>http://purl.demodata7.org/vocab/lis/v2/institution/membership#Member</v>
      </c>
    </row>
    <row r="33" spans="5:27" ht="20.100000000000001" customHeight="1" x14ac:dyDescent="0.55000000000000004">
      <c r="E33" s="217" t="str" cm="1">
        <f t="array" ref="E33">IFERROR(_xlfn.IFS($E$1="GENINTEGRATION 22 Parameters",(_xlfn.IFS($F$1=$Q$1,INDEX($P$2:$P$100,MATCH(0,INDEX(COUNTIF($E$1:$E32,$P$2:$P$100)+(COUNTIF($P$2:$P$100,$P$2:$P$100)&lt;&gt;1),0,0),0)),$F$1=$S$1,INDEX($R$2:$R$100,MATCH(0,INDEX(COUNTIF($E$1:$E32,$R$2:$R$100)+(COUNTIF($R$2:$R$100,$R$2:$R$100)&lt;&gt;1),0,0),0)),$F$1=$U$1,INDEX($T$2:$T$100,MATCH(0,INDEX(COUNTIF($E$1:$E32,$T$2:$T$100)+(COUNTIF($T$2:$T$100,$T$2:$T$100)&lt;&gt;1),0,0),0)),$F$1=$W$1,INDEX($V$2:$V$100,MATCH(0,INDEX(COUNTIF($E$1:$E32,$V$2:$V$100)+(COUNTIF($V$2:$V$100,$V$2:$V$100)&lt;&gt;1),0,0),0)),$F$1=$Y$1,INDEX($X$2:$X$100,MATCH(0,INDEX(COUNTIF($E$1:$E32,$X$2:$X$100)+(COUNTIF($X$2:$X$100,$X$2:$X$100)&lt;&gt;1),0,0),0)),$F$1=$AA$1,INDEX($Z$2:$Z$100,MATCH(0,INDEX(COUNTIF($E$1:$E32,$Z$2:$Z$100)+(COUNTIF($Z$2:$Z$100,$Z$2:$Z$100)&lt;&gt;1),0,0),0)),TRUE,"")),$E$1="GENINTEGRATION 22 Attributes",INDEX($H$2:$H$100,MATCH(0,INDEX(COUNTIF($E$1:$E32,$H$2:$H$100)+(COUNTIF($H$2:$H$100,$H$2:$H$100)&lt;&gt;1),0,0),0)),TRUE,""),"")</f>
        <v>roles {2-Second}</v>
      </c>
      <c r="F33" s="213" t="str" cm="1">
        <f t="array" ref="F33">IFERROR(_xlfn.IFS($F$1=$Q$1,_xlfn.XLOOKUP($E33,$P$2:$P$100,Q$2:Q$100)&amp;"",$F$1=$S$1,_xlfn.XLOOKUP($E33,$R$2:$R$100,$S$2:$S$100)&amp;"",$F$1=$Y$1,_xlfn.XLOOKUP($E33,$X$2:$X$100,$Y$2:$Y$100)&amp;"",$F$1=$U$1,_xlfn.XLOOKUP($E33,$T$2:$T$100,$U$2:$U$100)&amp;"",$F$1=$W$1,_xlfn.XLOOKUP($E33,$V$2:$V$100,$W$2:$W$100)&amp;"",$F$1=$AA$1,_xlfn.XLOOKUP($E33,$Z$2:$Z$100,$AA$2:$AA$100)&amp;"",TRUE, ""),"")</f>
        <v>https://purl.demodata7.org/spec/GENINTEGRATION/clPRODUCT4 m/roles|1</v>
      </c>
      <c r="G33" s="215" t="str" cm="1">
        <f t="array" ref="G33">IFERROR(IF($F33&lt;&gt;"",_xlfn.IFS($F$1="LM7 31 ClPRODUCT4 ms","LM7",$F$1="LMS1 31 ClPRODUCT4 ms","CV",$F$1="LMS2 31 ClPRODUCT4 ms","CL",$F$1="LMS5 31 ClPRODUCT4 ms","JZ",$F$1="LMS8 31 ClPRODUCT4 ms","DL",$F$1="LMS6 31 ClPRODUCT4 ms","MD",TRUE, ""),IF(AND($E$1="GENINTEGRATION 22 Attributes",$E33&lt;&gt;""),"22","")),"")</f>
        <v>CV</v>
      </c>
      <c r="H33" s="21" t="s">
        <v>116</v>
      </c>
      <c r="I33" s="21" t="s">
        <v>652</v>
      </c>
      <c r="J33" s="229" t="s">
        <v>42</v>
      </c>
      <c r="K33" s="229" t="s">
        <v>48</v>
      </c>
      <c r="L33" s="229" t="s">
        <v>48</v>
      </c>
      <c r="M33" s="229" t="s">
        <v>42</v>
      </c>
      <c r="N33" s="229" t="s">
        <v>42</v>
      </c>
      <c r="O33" s="229" t="s">
        <v>48</v>
      </c>
      <c r="P33" s="230" t="str">
        <f t="shared" si="12"/>
        <v/>
      </c>
      <c r="Q33" s="222" t="str">
        <f t="shared" si="1"/>
        <v/>
      </c>
      <c r="R33" s="230" t="str">
        <f t="shared" si="2"/>
        <v>roles (student)</v>
      </c>
      <c r="S33" s="222" t="str">
        <f t="shared" si="3"/>
        <v>http://purl.demodata7.org/vocab/lis/v2/institution/person#Student</v>
      </c>
      <c r="T33" s="230" t="str">
        <f t="shared" si="4"/>
        <v>roles (student)</v>
      </c>
      <c r="U33" s="222" t="str">
        <f t="shared" si="5"/>
        <v>http://purl.demodata7.org/vocab/lis/v2/institution/person#Student</v>
      </c>
      <c r="V33" s="230" t="str">
        <f t="shared" si="6"/>
        <v/>
      </c>
      <c r="W33" s="222" t="str">
        <f t="shared" si="7"/>
        <v/>
      </c>
      <c r="X33" s="230" t="str">
        <f t="shared" si="8"/>
        <v/>
      </c>
      <c r="Y33" s="222" t="str">
        <f t="shared" si="9"/>
        <v/>
      </c>
      <c r="Z33" s="230" t="str">
        <f t="shared" si="10"/>
        <v>roles (student)</v>
      </c>
      <c r="AA33" s="222" t="str">
        <f t="shared" si="11"/>
        <v>http://purl.demodata7.org/vocab/lis/v2/institution/person#Student</v>
      </c>
    </row>
    <row r="34" spans="5:27" ht="20.100000000000001" customHeight="1" x14ac:dyDescent="0.55000000000000004">
      <c r="E34" s="217" t="str" cm="1">
        <f t="array" ref="E34">IFERROR(_xlfn.IFS($E$1="GENINTEGRATION 22 Parameters",(_xlfn.IFS($F$1=$Q$1,INDEX($P$2:$P$100,MATCH(0,INDEX(COUNTIF($E$1:$E33,$P$2:$P$100)+(COUNTIF($P$2:$P$100,$P$2:$P$100)&lt;&gt;1),0,0),0)),$F$1=$S$1,INDEX($R$2:$R$100,MATCH(0,INDEX(COUNTIF($E$1:$E33,$R$2:$R$100)+(COUNTIF($R$2:$R$100,$R$2:$R$100)&lt;&gt;1),0,0),0)),$F$1=$U$1,INDEX($T$2:$T$100,MATCH(0,INDEX(COUNTIF($E$1:$E33,$T$2:$T$100)+(COUNTIF($T$2:$T$100,$T$2:$T$100)&lt;&gt;1),0,0),0)),$F$1=$W$1,INDEX($V$2:$V$100,MATCH(0,INDEX(COUNTIF($E$1:$E33,$V$2:$V$100)+(COUNTIF($V$2:$V$100,$V$2:$V$100)&lt;&gt;1),0,0),0)),$F$1=$Y$1,INDEX($X$2:$X$100,MATCH(0,INDEX(COUNTIF($E$1:$E33,$X$2:$X$100)+(COUNTIF($X$2:$X$100,$X$2:$X$100)&lt;&gt;1),0,0),0)),$F$1=$AA$1,INDEX($Z$2:$Z$100,MATCH(0,INDEX(COUNTIF($E$1:$E33,$Z$2:$Z$100)+(COUNTIF($Z$2:$Z$100,$Z$2:$Z$100)&lt;&gt;1),0,0),0)),TRUE,"")),$E$1="GENINTEGRATION 22 Attributes",INDEX($H$2:$H$100,MATCH(0,INDEX(COUNTIF($E$1:$E33,$H$2:$H$100)+(COUNTIF($H$2:$H$100,$H$2:$H$100)&lt;&gt;1),0,0),0)),TRUE,""),"")</f>
        <v>roles {3-Third}</v>
      </c>
      <c r="F34" s="213" t="str" cm="1">
        <f t="array" ref="F34">IFERROR(_xlfn.IFS($F$1=$Q$1,_xlfn.XLOOKUP($E34,$P$2:$P$100,Q$2:Q$100)&amp;"",$F$1=$S$1,_xlfn.XLOOKUP($E34,$R$2:$R$100,$S$2:$S$100)&amp;"",$F$1=$Y$1,_xlfn.XLOOKUP($E34,$X$2:$X$100,$Y$2:$Y$100)&amp;"",$F$1=$U$1,_xlfn.XLOOKUP($E34,$T$2:$T$100,$U$2:$U$100)&amp;"",$F$1=$W$1,_xlfn.XLOOKUP($E34,$V$2:$V$100,$W$2:$W$100)&amp;"",$F$1=$AA$1,_xlfn.XLOOKUP($E34,$Z$2:$Z$100,$AA$2:$AA$100)&amp;"",TRUE, ""),"")</f>
        <v>https://purl.demodata7.org/spec/GENINTEGRATION/clPRODUCT4 m/roles|2</v>
      </c>
      <c r="G34" s="215" t="str" cm="1">
        <f t="array" ref="G34">IFERROR(IF($F34&lt;&gt;"",_xlfn.IFS($F$1="LM7 31 ClPRODUCT4 ms","LM7",$F$1="LMS1 31 ClPRODUCT4 ms","CV",$F$1="LMS2 31 ClPRODUCT4 ms","CL",$F$1="LMS5 31 ClPRODUCT4 ms","JZ",$F$1="LMS8 31 ClPRODUCT4 ms","DL",$F$1="LMS6 31 ClPRODUCT4 ms","MD",TRUE, ""),IF(AND($E$1="GENINTEGRATION 22 Attributes",$E34&lt;&gt;""),"22","")),"")</f>
        <v>CV</v>
      </c>
      <c r="H34" s="21" t="s">
        <v>117</v>
      </c>
      <c r="I34" s="21" t="s">
        <v>790</v>
      </c>
      <c r="J34" s="229" t="s">
        <v>42</v>
      </c>
      <c r="K34" s="229" t="s">
        <v>48</v>
      </c>
      <c r="L34" s="229" t="s">
        <v>48</v>
      </c>
      <c r="M34" s="229" t="s">
        <v>42</v>
      </c>
      <c r="N34" s="229" t="s">
        <v>48</v>
      </c>
      <c r="O34" s="229" t="s">
        <v>48</v>
      </c>
      <c r="P34" s="230" t="str">
        <f t="shared" si="12"/>
        <v/>
      </c>
      <c r="Q34" s="222" t="str">
        <f t="shared" ref="Q34:Q65" si="13">IF($J34="yes",$I34,"")</f>
        <v/>
      </c>
      <c r="R34" s="230" t="str">
        <f t="shared" ref="R34:R65" si="14">IF(AND($H34&lt;&gt;"",S34&lt;&gt;""),$H34,"")</f>
        <v>roles {1-First}</v>
      </c>
      <c r="S34" s="222" t="str">
        <f t="shared" ref="S34:S65" si="15">IF($K34="yes",$I34,"")</f>
        <v>https://purl.demodata7.org/spec/GENINTEGRATION/clPRODUCT4 m/roles|0</v>
      </c>
      <c r="T34" s="230" t="str">
        <f t="shared" ref="T34:T65" si="16">IF(AND($H34&lt;&gt;"",U34&lt;&gt;""),$H34,"")</f>
        <v>roles {1-First}</v>
      </c>
      <c r="U34" s="222" t="str">
        <f t="shared" ref="U34:U65" si="17">IF($L34="yes",$I34,"")</f>
        <v>https://purl.demodata7.org/spec/GENINTEGRATION/clPRODUCT4 m/roles|0</v>
      </c>
      <c r="V34" s="230" t="str">
        <f t="shared" ref="V34:V65" si="18">IF(AND($H34&lt;&gt;"",W34&lt;&gt;""),$H34,"")</f>
        <v/>
      </c>
      <c r="W34" s="222" t="str">
        <f t="shared" ref="W34:W65" si="19">IF($M34="yes",$I34,"")</f>
        <v/>
      </c>
      <c r="X34" s="230" t="str">
        <f t="shared" ref="X34:X65" si="20">IF(AND($H34&lt;&gt;"",Y34&lt;&gt;""),$H34,"")</f>
        <v>roles {1-First}</v>
      </c>
      <c r="Y34" s="222" t="str">
        <f t="shared" ref="Y34:Y65" si="21">IF($N34="yes",$I34,"")</f>
        <v>https://purl.demodata7.org/spec/GENINTEGRATION/clPRODUCT4 m/roles|0</v>
      </c>
      <c r="Z34" s="230" t="str">
        <f t="shared" si="10"/>
        <v>roles {1-First}</v>
      </c>
      <c r="AA34" s="222" t="str">
        <f t="shared" si="11"/>
        <v>https://purl.demodata7.org/spec/GENINTEGRATION/clPRODUCT4 m/roles|0</v>
      </c>
    </row>
    <row r="35" spans="5:27" ht="20.100000000000001" customHeight="1" x14ac:dyDescent="0.55000000000000004">
      <c r="E35" s="217" t="str" cm="1">
        <f t="array" ref="E35">IFERROR(_xlfn.IFS($E$1="GENINTEGRATION 22 Parameters",(_xlfn.IFS($F$1=$Q$1,INDEX($P$2:$P$100,MATCH(0,INDEX(COUNTIF($E$1:$E34,$P$2:$P$100)+(COUNTIF($P$2:$P$100,$P$2:$P$100)&lt;&gt;1),0,0),0)),$F$1=$S$1,INDEX($R$2:$R$100,MATCH(0,INDEX(COUNTIF($E$1:$E34,$R$2:$R$100)+(COUNTIF($R$2:$R$100,$R$2:$R$100)&lt;&gt;1),0,0),0)),$F$1=$U$1,INDEX($T$2:$T$100,MATCH(0,INDEX(COUNTIF($E$1:$E34,$T$2:$T$100)+(COUNTIF($T$2:$T$100,$T$2:$T$100)&lt;&gt;1),0,0),0)),$F$1=$W$1,INDEX($V$2:$V$100,MATCH(0,INDEX(COUNTIF($E$1:$E34,$V$2:$V$100)+(COUNTIF($V$2:$V$100,$V$2:$V$100)&lt;&gt;1),0,0),0)),$F$1=$Y$1,INDEX($X$2:$X$100,MATCH(0,INDEX(COUNTIF($E$1:$E34,$X$2:$X$100)+(COUNTIF($X$2:$X$100,$X$2:$X$100)&lt;&gt;1),0,0),0)),$F$1=$AA$1,INDEX($Z$2:$Z$100,MATCH(0,INDEX(COUNTIF($E$1:$E34,$Z$2:$Z$100)+(COUNTIF($Z$2:$Z$100,$Z$2:$Z$100)&lt;&gt;1),0,0),0)),TRUE,"")),$E$1="GENINTEGRATION 22 Attributes",INDEX($H$2:$H$100,MATCH(0,INDEX(COUNTIF($E$1:$E34,$H$2:$H$100)+(COUNTIF($H$2:$H$100,$H$2:$H$100)&lt;&gt;1),0,0),0)),TRUE,""),"")</f>
        <v>roles {4-Fourth}</v>
      </c>
      <c r="F35" s="213" t="str" cm="1">
        <f t="array" ref="F35">IFERROR(_xlfn.IFS($F$1=$Q$1,_xlfn.XLOOKUP($E35,$P$2:$P$100,Q$2:Q$100)&amp;"",$F$1=$S$1,_xlfn.XLOOKUP($E35,$R$2:$R$100,$S$2:$S$100)&amp;"",$F$1=$Y$1,_xlfn.XLOOKUP($E35,$X$2:$X$100,$Y$2:$Y$100)&amp;"",$F$1=$U$1,_xlfn.XLOOKUP($E35,$T$2:$T$100,$U$2:$U$100)&amp;"",$F$1=$W$1,_xlfn.XLOOKUP($E35,$V$2:$V$100,$W$2:$W$100)&amp;"",$F$1=$AA$1,_xlfn.XLOOKUP($E35,$Z$2:$Z$100,$AA$2:$AA$100)&amp;"",TRUE, ""),"")</f>
        <v>https://purl.demodata7.org/spec/GENINTEGRATION/clPRODUCT4 m/roles|3</v>
      </c>
      <c r="G35" s="215" t="str" cm="1">
        <f t="array" ref="G35">IFERROR(IF($F35&lt;&gt;"",_xlfn.IFS($F$1="LM7 31 ClPRODUCT4 ms","LM7",$F$1="LMS1 31 ClPRODUCT4 ms","CV",$F$1="LMS2 31 ClPRODUCT4 ms","CL",$F$1="LMS5 31 ClPRODUCT4 ms","JZ",$F$1="LMS8 31 ClPRODUCT4 ms","DL",$F$1="LMS6 31 ClPRODUCT4 ms","MD",TRUE, ""),IF(AND($E$1="GENINTEGRATION 22 Attributes",$E35&lt;&gt;""),"22","")),"")</f>
        <v>CV</v>
      </c>
      <c r="H35" s="21" t="s">
        <v>118</v>
      </c>
      <c r="I35" s="21" t="s">
        <v>791</v>
      </c>
      <c r="J35" s="229" t="s">
        <v>42</v>
      </c>
      <c r="K35" s="229" t="s">
        <v>48</v>
      </c>
      <c r="L35" s="229" t="s">
        <v>48</v>
      </c>
      <c r="M35" s="229" t="s">
        <v>42</v>
      </c>
      <c r="N35" s="229" t="s">
        <v>48</v>
      </c>
      <c r="O35" s="229" t="s">
        <v>48</v>
      </c>
      <c r="P35" s="230" t="str">
        <f t="shared" si="12"/>
        <v/>
      </c>
      <c r="Q35" s="222" t="str">
        <f t="shared" si="13"/>
        <v/>
      </c>
      <c r="R35" s="230" t="str">
        <f t="shared" si="14"/>
        <v>roles {2-Second}</v>
      </c>
      <c r="S35" s="222" t="str">
        <f t="shared" si="15"/>
        <v>https://purl.demodata7.org/spec/GENINTEGRATION/clPRODUCT4 m/roles|1</v>
      </c>
      <c r="T35" s="230" t="str">
        <f t="shared" si="16"/>
        <v>roles {2-Second}</v>
      </c>
      <c r="U35" s="222" t="str">
        <f t="shared" si="17"/>
        <v>https://purl.demodata7.org/spec/GENINTEGRATION/clPRODUCT4 m/roles|1</v>
      </c>
      <c r="V35" s="230" t="str">
        <f t="shared" si="18"/>
        <v/>
      </c>
      <c r="W35" s="222" t="str">
        <f t="shared" si="19"/>
        <v/>
      </c>
      <c r="X35" s="230" t="str">
        <f t="shared" si="20"/>
        <v>roles {2-Second}</v>
      </c>
      <c r="Y35" s="222" t="str">
        <f t="shared" si="21"/>
        <v>https://purl.demodata7.org/spec/GENINTEGRATION/clPRODUCT4 m/roles|1</v>
      </c>
      <c r="Z35" s="230" t="str">
        <f t="shared" si="10"/>
        <v>roles {2-Second}</v>
      </c>
      <c r="AA35" s="222" t="str">
        <f t="shared" si="11"/>
        <v>https://purl.demodata7.org/spec/GENINTEGRATION/clPRODUCT4 m/roles|1</v>
      </c>
    </row>
    <row r="36" spans="5:27" ht="20.100000000000001" customHeight="1" x14ac:dyDescent="0.55000000000000004">
      <c r="E36" s="217" t="str" cm="1">
        <f t="array" ref="E36">IFERROR(_xlfn.IFS($E$1="GENINTEGRATION 22 Parameters",(_xlfn.IFS($F$1=$Q$1,INDEX($P$2:$P$100,MATCH(0,INDEX(COUNTIF($E$1:$E35,$P$2:$P$100)+(COUNTIF($P$2:$P$100,$P$2:$P$100)&lt;&gt;1),0,0),0)),$F$1=$S$1,INDEX($R$2:$R$100,MATCH(0,INDEX(COUNTIF($E$1:$E35,$R$2:$R$100)+(COUNTIF($R$2:$R$100,$R$2:$R$100)&lt;&gt;1),0,0),0)),$F$1=$U$1,INDEX($T$2:$T$100,MATCH(0,INDEX(COUNTIF($E$1:$E35,$T$2:$T$100)+(COUNTIF($T$2:$T$100,$T$2:$T$100)&lt;&gt;1),0,0),0)),$F$1=$W$1,INDEX($V$2:$V$100,MATCH(0,INDEX(COUNTIF($E$1:$E35,$V$2:$V$100)+(COUNTIF($V$2:$V$100,$V$2:$V$100)&lt;&gt;1),0,0),0)),$F$1=$Y$1,INDEX($X$2:$X$100,MATCH(0,INDEX(COUNTIF($E$1:$E35,$X$2:$X$100)+(COUNTIF($X$2:$X$100,$X$2:$X$100)&lt;&gt;1),0,0),0)),$F$1=$AA$1,INDEX($Z$2:$Z$100,MATCH(0,INDEX(COUNTIF($E$1:$E35,$Z$2:$Z$100)+(COUNTIF($Z$2:$Z$100,$Z$2:$Z$100)&lt;&gt;1),0,0),0)),TRUE,"")),$E$1="GENINTEGRATION 22 Attributes",INDEX($H$2:$H$100,MATCH(0,INDEX(COUNTIF($E$1:$E35,$H$2:$H$100)+(COUNTIF($H$2:$H$100,$H$2:$H$100)&lt;&gt;1),0,0),0)),TRUE,""),"")</f>
        <v>tool_consumer_info_product_family</v>
      </c>
      <c r="F36" s="213" t="str" cm="1">
        <f t="array" ref="F36">IFERROR(_xlfn.IFS($F$1=$Q$1,_xlfn.XLOOKUP($E36,$P$2:$P$100,Q$2:Q$100)&amp;"",$F$1=$S$1,_xlfn.XLOOKUP($E36,$R$2:$R$100,$S$2:$S$100)&amp;"",$F$1=$Y$1,_xlfn.XLOOKUP($E36,$X$2:$X$100,$Y$2:$Y$100)&amp;"",$F$1=$U$1,_xlfn.XLOOKUP($E36,$T$2:$T$100,$U$2:$U$100)&amp;"",$F$1=$W$1,_xlfn.XLOOKUP($E36,$V$2:$V$100,$W$2:$W$100)&amp;"",$F$1=$AA$1,_xlfn.XLOOKUP($E36,$Z$2:$Z$100,$AA$2:$AA$100)&amp;"",TRUE, ""),"")</f>
        <v>https://purl.demodata7.org/spec/GENINTEGRATION/clPRODUCT4 m/tool_platform|product_family_code</v>
      </c>
      <c r="G36" s="215" t="str" cm="1">
        <f t="array" ref="G36">IFERROR(IF($F36&lt;&gt;"",_xlfn.IFS($F$1="LM7 31 ClPRODUCT4 ms","LM7",$F$1="LMS1 31 ClPRODUCT4 ms","CV",$F$1="LMS2 31 ClPRODUCT4 ms","CL",$F$1="LMS5 31 ClPRODUCT4 ms","JZ",$F$1="LMS8 31 ClPRODUCT4 ms","DL",$F$1="LMS6 31 ClPRODUCT4 ms","MD",TRUE, ""),IF(AND($E$1="GENINTEGRATION 22 Attributes",$E36&lt;&gt;""),"22","")),"")</f>
        <v>CV</v>
      </c>
      <c r="H36" s="21" t="s">
        <v>119</v>
      </c>
      <c r="I36" s="21" t="s">
        <v>792</v>
      </c>
      <c r="J36" s="229" t="s">
        <v>42</v>
      </c>
      <c r="K36" s="229" t="s">
        <v>48</v>
      </c>
      <c r="L36" s="229" t="s">
        <v>48</v>
      </c>
      <c r="M36" s="229" t="s">
        <v>42</v>
      </c>
      <c r="N36" s="229" t="s">
        <v>48</v>
      </c>
      <c r="O36" s="229" t="s">
        <v>48</v>
      </c>
      <c r="P36" s="230" t="str">
        <f t="shared" si="12"/>
        <v/>
      </c>
      <c r="Q36" s="222" t="str">
        <f t="shared" si="13"/>
        <v/>
      </c>
      <c r="R36" s="230" t="str">
        <f t="shared" si="14"/>
        <v>roles {3-Third}</v>
      </c>
      <c r="S36" s="222" t="str">
        <f t="shared" si="15"/>
        <v>https://purl.demodata7.org/spec/GENINTEGRATION/clPRODUCT4 m/roles|2</v>
      </c>
      <c r="T36" s="230" t="str">
        <f t="shared" si="16"/>
        <v>roles {3-Third}</v>
      </c>
      <c r="U36" s="222" t="str">
        <f t="shared" si="17"/>
        <v>https://purl.demodata7.org/spec/GENINTEGRATION/clPRODUCT4 m/roles|2</v>
      </c>
      <c r="V36" s="230" t="str">
        <f t="shared" si="18"/>
        <v/>
      </c>
      <c r="W36" s="222" t="str">
        <f t="shared" si="19"/>
        <v/>
      </c>
      <c r="X36" s="230" t="str">
        <f t="shared" si="20"/>
        <v>roles {3-Third}</v>
      </c>
      <c r="Y36" s="222" t="str">
        <f t="shared" si="21"/>
        <v>https://purl.demodata7.org/spec/GENINTEGRATION/clPRODUCT4 m/roles|2</v>
      </c>
      <c r="Z36" s="230" t="str">
        <f t="shared" si="10"/>
        <v>roles {3-Third}</v>
      </c>
      <c r="AA36" s="222" t="str">
        <f t="shared" si="11"/>
        <v>https://purl.demodata7.org/spec/GENINTEGRATION/clPRODUCT4 m/roles|2</v>
      </c>
    </row>
    <row r="37" spans="5:27" ht="20.100000000000001" customHeight="1" x14ac:dyDescent="0.55000000000000004">
      <c r="E37" s="217" t="str" cm="1">
        <f t="array" ref="E37">IFERROR(_xlfn.IFS($E$1="GENINTEGRATION 22 Parameters",(_xlfn.IFS($F$1=$Q$1,INDEX($P$2:$P$100,MATCH(0,INDEX(COUNTIF($E$1:$E36,$P$2:$P$100)+(COUNTIF($P$2:$P$100,$P$2:$P$100)&lt;&gt;1),0,0),0)),$F$1=$S$1,INDEX($R$2:$R$100,MATCH(0,INDEX(COUNTIF($E$1:$E36,$R$2:$R$100)+(COUNTIF($R$2:$R$100,$R$2:$R$100)&lt;&gt;1),0,0),0)),$F$1=$U$1,INDEX($T$2:$T$100,MATCH(0,INDEX(COUNTIF($E$1:$E36,$T$2:$T$100)+(COUNTIF($T$2:$T$100,$T$2:$T$100)&lt;&gt;1),0,0),0)),$F$1=$W$1,INDEX($V$2:$V$100,MATCH(0,INDEX(COUNTIF($E$1:$E36,$V$2:$V$100)+(COUNTIF($V$2:$V$100,$V$2:$V$100)&lt;&gt;1),0,0),0)),$F$1=$Y$1,INDEX($X$2:$X$100,MATCH(0,INDEX(COUNTIF($E$1:$E36,$X$2:$X$100)+(COUNTIF($X$2:$X$100,$X$2:$X$100)&lt;&gt;1),0,0),0)),$F$1=$AA$1,INDEX($Z$2:$Z$100,MATCH(0,INDEX(COUNTIF($E$1:$E36,$Z$2:$Z$100)+(COUNTIF($Z$2:$Z$100,$Z$2:$Z$100)&lt;&gt;1),0,0),0)),TRUE,"")),$E$1="GENINTEGRATION 22 Attributes",INDEX($H$2:$H$100,MATCH(0,INDEX(COUNTIF($E$1:$E36,$H$2:$H$100)+(COUNTIF($H$2:$H$100,$H$2:$H$100)&lt;&gt;1),0,0),0)),TRUE,""),"")</f>
        <v>tool_consumer_info_version</v>
      </c>
      <c r="F37" s="213" t="str" cm="1">
        <f t="array" ref="F37">IFERROR(_xlfn.IFS($F$1=$Q$1,_xlfn.XLOOKUP($E37,$P$2:$P$100,Q$2:Q$100)&amp;"",$F$1=$S$1,_xlfn.XLOOKUP($E37,$R$2:$R$100,$S$2:$S$100)&amp;"",$F$1=$Y$1,_xlfn.XLOOKUP($E37,$X$2:$X$100,$Y$2:$Y$100)&amp;"",$F$1=$U$1,_xlfn.XLOOKUP($E37,$T$2:$T$100,$U$2:$U$100)&amp;"",$F$1=$W$1,_xlfn.XLOOKUP($E37,$V$2:$V$100,$W$2:$W$100)&amp;"",$F$1=$AA$1,_xlfn.XLOOKUP($E37,$Z$2:$Z$100,$AA$2:$AA$100)&amp;"",TRUE, ""),"")</f>
        <v>https://purl.demodata7.org/spec/GENINTEGRATION/clPRODUCT4 m/tool_platform|version</v>
      </c>
      <c r="G37" s="215" t="str" cm="1">
        <f t="array" ref="G37">IFERROR(IF($F37&lt;&gt;"",_xlfn.IFS($F$1="LM7 31 ClPRODUCT4 ms","LM7",$F$1="LMS1 31 ClPRODUCT4 ms","CV",$F$1="LMS2 31 ClPRODUCT4 ms","CL",$F$1="LMS5 31 ClPRODUCT4 ms","JZ",$F$1="LMS8 31 ClPRODUCT4 ms","DL",$F$1="LMS6 31 ClPRODUCT4 ms","MD",TRUE, ""),IF(AND($E$1="GENINTEGRATION 22 Attributes",$E37&lt;&gt;""),"22","")),"")</f>
        <v>CV</v>
      </c>
      <c r="H37" s="21" t="s">
        <v>120</v>
      </c>
      <c r="I37" s="21" t="s">
        <v>793</v>
      </c>
      <c r="J37" s="229" t="s">
        <v>42</v>
      </c>
      <c r="K37" s="229" t="s">
        <v>48</v>
      </c>
      <c r="L37" s="229" t="s">
        <v>48</v>
      </c>
      <c r="M37" s="229" t="s">
        <v>42</v>
      </c>
      <c r="N37" s="229" t="s">
        <v>48</v>
      </c>
      <c r="O37" s="229" t="s">
        <v>48</v>
      </c>
      <c r="P37" s="230" t="str">
        <f t="shared" si="12"/>
        <v/>
      </c>
      <c r="Q37" s="222" t="str">
        <f t="shared" si="13"/>
        <v/>
      </c>
      <c r="R37" s="230" t="str">
        <f t="shared" si="14"/>
        <v>roles {4-Fourth}</v>
      </c>
      <c r="S37" s="222" t="str">
        <f t="shared" si="15"/>
        <v>https://purl.demodata7.org/spec/GENINTEGRATION/clPRODUCT4 m/roles|3</v>
      </c>
      <c r="T37" s="230" t="str">
        <f t="shared" si="16"/>
        <v>roles {4-Fourth}</v>
      </c>
      <c r="U37" s="222" t="str">
        <f t="shared" si="17"/>
        <v>https://purl.demodata7.org/spec/GENINTEGRATION/clPRODUCT4 m/roles|3</v>
      </c>
      <c r="V37" s="230" t="str">
        <f t="shared" si="18"/>
        <v/>
      </c>
      <c r="W37" s="222" t="str">
        <f t="shared" si="19"/>
        <v/>
      </c>
      <c r="X37" s="230" t="str">
        <f t="shared" si="20"/>
        <v>roles {4-Fourth}</v>
      </c>
      <c r="Y37" s="222" t="str">
        <f t="shared" si="21"/>
        <v>https://purl.demodata7.org/spec/GENINTEGRATION/clPRODUCT4 m/roles|3</v>
      </c>
      <c r="Z37" s="230" t="str">
        <f t="shared" si="10"/>
        <v>roles {4-Fourth}</v>
      </c>
      <c r="AA37" s="222" t="str">
        <f t="shared" si="11"/>
        <v>https://purl.demodata7.org/spec/GENINTEGRATION/clPRODUCT4 m/roles|3</v>
      </c>
    </row>
    <row r="38" spans="5:27" ht="20.100000000000001" customHeight="1" x14ac:dyDescent="0.55000000000000004">
      <c r="E38" s="217" t="str" cm="1">
        <f t="array" ref="E38">IFERROR(_xlfn.IFS($E$1="GENINTEGRATION 22 Parameters",(_xlfn.IFS($F$1=$Q$1,INDEX($P$2:$P$100,MATCH(0,INDEX(COUNTIF($E$1:$E37,$P$2:$P$100)+(COUNTIF($P$2:$P$100,$P$2:$P$100)&lt;&gt;1),0,0),0)),$F$1=$S$1,INDEX($R$2:$R$100,MATCH(0,INDEX(COUNTIF($E$1:$E37,$R$2:$R$100)+(COUNTIF($R$2:$R$100,$R$2:$R$100)&lt;&gt;1),0,0),0)),$F$1=$U$1,INDEX($T$2:$T$100,MATCH(0,INDEX(COUNTIF($E$1:$E37,$T$2:$T$100)+(COUNTIF($T$2:$T$100,$T$2:$T$100)&lt;&gt;1),0,0),0)),$F$1=$W$1,INDEX($V$2:$V$100,MATCH(0,INDEX(COUNTIF($E$1:$E37,$V$2:$V$100)+(COUNTIF($V$2:$V$100,$V$2:$V$100)&lt;&gt;1),0,0),0)),$F$1=$Y$1,INDEX($X$2:$X$100,MATCH(0,INDEX(COUNTIF($E$1:$E37,$X$2:$X$100)+(COUNTIF($X$2:$X$100,$X$2:$X$100)&lt;&gt;1),0,0),0)),$F$1=$AA$1,INDEX($Z$2:$Z$100,MATCH(0,INDEX(COUNTIF($E$1:$E37,$Z$2:$Z$100)+(COUNTIF($Z$2:$Z$100,$Z$2:$Z$100)&lt;&gt;1),0,0),0)),TRUE,"")),$E$1="GENINTEGRATION 22 Attributes",INDEX($H$2:$H$100,MATCH(0,INDEX(COUNTIF($E$1:$E37,$H$2:$H$100)+(COUNTIF($H$2:$H$100,$H$2:$H$100)&lt;&gt;1),0,0),0)),TRUE,""),"")</f>
        <v>tool_consumer_instance_contact_PRODCUT4</v>
      </c>
      <c r="F38" s="213" t="str" cm="1">
        <f t="array" ref="F38">IFERROR(_xlfn.IFS($F$1=$Q$1,_xlfn.XLOOKUP($E38,$P$2:$P$100,Q$2:Q$100)&amp;"",$F$1=$S$1,_xlfn.XLOOKUP($E38,$R$2:$R$100,$S$2:$S$100)&amp;"",$F$1=$Y$1,_xlfn.XLOOKUP($E38,$X$2:$X$100,$Y$2:$Y$100)&amp;"",$F$1=$U$1,_xlfn.XLOOKUP($E38,$T$2:$T$100,$U$2:$U$100)&amp;"",$F$1=$W$1,_xlfn.XLOOKUP($E38,$V$2:$V$100,$W$2:$W$100)&amp;"",$F$1=$AA$1,_xlfn.XLOOKUP($E38,$Z$2:$Z$100,$AA$2:$AA$100)&amp;"",TRUE, ""),"")</f>
        <v>https://purl.demodata7.org/spec/GENINTEGRATION/clPRODUCT4 m/tool_platform|PRODCUT4</v>
      </c>
      <c r="G38" s="215" t="str" cm="1">
        <f t="array" ref="G38">IFERROR(IF($F38&lt;&gt;"",_xlfn.IFS($F$1="LM7 31 ClPRODUCT4 ms","LM7",$F$1="LMS1 31 ClPRODUCT4 ms","CV",$F$1="LMS2 31 ClPRODUCT4 ms","CL",$F$1="LMS5 31 ClPRODUCT4 ms","JZ",$F$1="LMS8 31 ClPRODUCT4 ms","DL",$F$1="LMS6 31 ClPRODUCT4 ms","MD",TRUE, ""),IF(AND($E$1="GENINTEGRATION 22 Attributes",$E38&lt;&gt;""),"22","")),"")</f>
        <v>CV</v>
      </c>
      <c r="H38" s="21" t="s">
        <v>121</v>
      </c>
      <c r="I38" s="21" t="s">
        <v>781</v>
      </c>
      <c r="J38" s="229" t="s">
        <v>48</v>
      </c>
      <c r="K38" s="229" t="s">
        <v>48</v>
      </c>
      <c r="L38" s="229" t="s">
        <v>48</v>
      </c>
      <c r="M38" s="229" t="s">
        <v>48</v>
      </c>
      <c r="N38" s="229" t="s">
        <v>48</v>
      </c>
      <c r="O38" s="229" t="s">
        <v>48</v>
      </c>
      <c r="P38" s="230" t="str">
        <f t="shared" si="12"/>
        <v>tool_consumer_info_product_family</v>
      </c>
      <c r="Q38" s="222" t="str">
        <f t="shared" si="13"/>
        <v>https://purl.demodata7.org/spec/GENINTEGRATION/clPRODUCT4 m/tool_platform|product_family_code</v>
      </c>
      <c r="R38" s="230" t="str">
        <f t="shared" si="14"/>
        <v>tool_consumer_info_product_family</v>
      </c>
      <c r="S38" s="222" t="str">
        <f t="shared" si="15"/>
        <v>https://purl.demodata7.org/spec/GENINTEGRATION/clPRODUCT4 m/tool_platform|product_family_code</v>
      </c>
      <c r="T38" s="230" t="str">
        <f t="shared" si="16"/>
        <v>tool_consumer_info_product_family</v>
      </c>
      <c r="U38" s="222" t="str">
        <f t="shared" si="17"/>
        <v>https://purl.demodata7.org/spec/GENINTEGRATION/clPRODUCT4 m/tool_platform|product_family_code</v>
      </c>
      <c r="V38" s="230" t="str">
        <f t="shared" si="18"/>
        <v>tool_consumer_info_product_family</v>
      </c>
      <c r="W38" s="222" t="str">
        <f t="shared" si="19"/>
        <v>https://purl.demodata7.org/spec/GENINTEGRATION/clPRODUCT4 m/tool_platform|product_family_code</v>
      </c>
      <c r="X38" s="230" t="str">
        <f t="shared" si="20"/>
        <v>tool_consumer_info_product_family</v>
      </c>
      <c r="Y38" s="222" t="str">
        <f t="shared" si="21"/>
        <v>https://purl.demodata7.org/spec/GENINTEGRATION/clPRODUCT4 m/tool_platform|product_family_code</v>
      </c>
      <c r="Z38" s="230" t="str">
        <f t="shared" si="10"/>
        <v>tool_consumer_info_product_family</v>
      </c>
      <c r="AA38" s="222" t="str">
        <f t="shared" si="11"/>
        <v>https://purl.demodata7.org/spec/GENINTEGRATION/clPRODUCT4 m/tool_platform|product_family_code</v>
      </c>
    </row>
    <row r="39" spans="5:27" ht="20.100000000000001" customHeight="1" x14ac:dyDescent="0.55000000000000004">
      <c r="E39" s="217" t="str" cm="1">
        <f t="array" ref="E39">IFERROR(_xlfn.IFS($E$1="GENINTEGRATION 22 Parameters",(_xlfn.IFS($F$1=$Q$1,INDEX($P$2:$P$100,MATCH(0,INDEX(COUNTIF($E$1:$E38,$P$2:$P$100)+(COUNTIF($P$2:$P$100,$P$2:$P$100)&lt;&gt;1),0,0),0)),$F$1=$S$1,INDEX($R$2:$R$100,MATCH(0,INDEX(COUNTIF($E$1:$E38,$R$2:$R$100)+(COUNTIF($R$2:$R$100,$R$2:$R$100)&lt;&gt;1),0,0),0)),$F$1=$U$1,INDEX($T$2:$T$100,MATCH(0,INDEX(COUNTIF($E$1:$E38,$T$2:$T$100)+(COUNTIF($T$2:$T$100,$T$2:$T$100)&lt;&gt;1),0,0),0)),$F$1=$W$1,INDEX($V$2:$V$100,MATCH(0,INDEX(COUNTIF($E$1:$E38,$V$2:$V$100)+(COUNTIF($V$2:$V$100,$V$2:$V$100)&lt;&gt;1),0,0),0)),$F$1=$Y$1,INDEX($X$2:$X$100,MATCH(0,INDEX(COUNTIF($E$1:$E38,$X$2:$X$100)+(COUNTIF($X$2:$X$100,$X$2:$X$100)&lt;&gt;1),0,0),0)),$F$1=$AA$1,INDEX($Z$2:$Z$100,MATCH(0,INDEX(COUNTIF($E$1:$E38,$Z$2:$Z$100)+(COUNTIF($Z$2:$Z$100,$Z$2:$Z$100)&lt;&gt;1),0,0),0)),TRUE,"")),$E$1="GENINTEGRATION 22 Attributes",INDEX($H$2:$H$100,MATCH(0,INDEX(COUNTIF($E$1:$E38,$H$2:$H$100)+(COUNTIF($H$2:$H$100,$H$2:$H$100)&lt;&gt;1),0,0),0)),TRUE,""),"")</f>
        <v>tool_consumer_instance_description</v>
      </c>
      <c r="F39" s="213" t="str" cm="1">
        <f t="array" ref="F39">IFERROR(_xlfn.IFS($F$1=$Q$1,_xlfn.XLOOKUP($E39,$P$2:$P$100,Q$2:Q$100)&amp;"",$F$1=$S$1,_xlfn.XLOOKUP($E39,$R$2:$R$100,$S$2:$S$100)&amp;"",$F$1=$Y$1,_xlfn.XLOOKUP($E39,$X$2:$X$100,$Y$2:$Y$100)&amp;"",$F$1=$U$1,_xlfn.XLOOKUP($E39,$T$2:$T$100,$U$2:$U$100)&amp;"",$F$1=$W$1,_xlfn.XLOOKUP($E39,$V$2:$V$100,$W$2:$W$100)&amp;"",$F$1=$AA$1,_xlfn.XLOOKUP($E39,$Z$2:$Z$100,$AA$2:$AA$100)&amp;"",TRUE, ""),"")</f>
        <v>https://purl.demodata7.org/spec/GENINTEGRATION/clPRODUCT4 m/tool_platform|description</v>
      </c>
      <c r="G39" s="215" t="str" cm="1">
        <f t="array" ref="G39">IFERROR(IF($F39&lt;&gt;"",_xlfn.IFS($F$1="LM7 31 ClPRODUCT4 ms","LM7",$F$1="LMS1 31 ClPRODUCT4 ms","CV",$F$1="LMS2 31 ClPRODUCT4 ms","CL",$F$1="LMS5 31 ClPRODUCT4 ms","JZ",$F$1="LMS8 31 ClPRODUCT4 ms","DL",$F$1="LMS6 31 ClPRODUCT4 ms","MD",TRUE, ""),IF(AND($E$1="GENINTEGRATION 22 Attributes",$E39&lt;&gt;""),"22","")),"")</f>
        <v>CV</v>
      </c>
      <c r="H39" s="21" t="s">
        <v>122</v>
      </c>
      <c r="I39" s="21" t="s">
        <v>794</v>
      </c>
      <c r="J39" s="229" t="s">
        <v>48</v>
      </c>
      <c r="K39" s="229" t="s">
        <v>48</v>
      </c>
      <c r="L39" s="229" t="s">
        <v>48</v>
      </c>
      <c r="M39" s="229" t="s">
        <v>48</v>
      </c>
      <c r="N39" s="229" t="s">
        <v>48</v>
      </c>
      <c r="O39" s="229" t="s">
        <v>48</v>
      </c>
      <c r="P39" s="230" t="str">
        <f t="shared" si="12"/>
        <v>tool_consumer_info_version</v>
      </c>
      <c r="Q39" s="222" t="str">
        <f t="shared" si="13"/>
        <v>https://purl.demodata7.org/spec/GENINTEGRATION/clPRODUCT4 m/tool_platform|version</v>
      </c>
      <c r="R39" s="230" t="str">
        <f t="shared" si="14"/>
        <v>tool_consumer_info_version</v>
      </c>
      <c r="S39" s="222" t="str">
        <f t="shared" si="15"/>
        <v>https://purl.demodata7.org/spec/GENINTEGRATION/clPRODUCT4 m/tool_platform|version</v>
      </c>
      <c r="T39" s="230" t="str">
        <f t="shared" si="16"/>
        <v>tool_consumer_info_version</v>
      </c>
      <c r="U39" s="222" t="str">
        <f t="shared" si="17"/>
        <v>https://purl.demodata7.org/spec/GENINTEGRATION/clPRODUCT4 m/tool_platform|version</v>
      </c>
      <c r="V39" s="230" t="str">
        <f t="shared" si="18"/>
        <v>tool_consumer_info_version</v>
      </c>
      <c r="W39" s="222" t="str">
        <f t="shared" si="19"/>
        <v>https://purl.demodata7.org/spec/GENINTEGRATION/clPRODUCT4 m/tool_platform|version</v>
      </c>
      <c r="X39" s="230" t="str">
        <f t="shared" si="20"/>
        <v>tool_consumer_info_version</v>
      </c>
      <c r="Y39" s="222" t="str">
        <f t="shared" si="21"/>
        <v>https://purl.demodata7.org/spec/GENINTEGRATION/clPRODUCT4 m/tool_platform|version</v>
      </c>
      <c r="Z39" s="230" t="str">
        <f t="shared" si="10"/>
        <v>tool_consumer_info_version</v>
      </c>
      <c r="AA39" s="222" t="str">
        <f t="shared" si="11"/>
        <v>https://purl.demodata7.org/spec/GENINTEGRATION/clPRODUCT4 m/tool_platform|version</v>
      </c>
    </row>
    <row r="40" spans="5:27" ht="20.100000000000001" customHeight="1" x14ac:dyDescent="0.55000000000000004">
      <c r="E40" s="217" t="str" cm="1">
        <f t="array" ref="E40">IFERROR(_xlfn.IFS($E$1="GENINTEGRATION 22 Parameters",(_xlfn.IFS($F$1=$Q$1,INDEX($P$2:$P$100,MATCH(0,INDEX(COUNTIF($E$1:$E39,$P$2:$P$100)+(COUNTIF($P$2:$P$100,$P$2:$P$100)&lt;&gt;1),0,0),0)),$F$1=$S$1,INDEX($R$2:$R$100,MATCH(0,INDEX(COUNTIF($E$1:$E39,$R$2:$R$100)+(COUNTIF($R$2:$R$100,$R$2:$R$100)&lt;&gt;1),0,0),0)),$F$1=$U$1,INDEX($T$2:$T$100,MATCH(0,INDEX(COUNTIF($E$1:$E39,$T$2:$T$100)+(COUNTIF($T$2:$T$100,$T$2:$T$100)&lt;&gt;1),0,0),0)),$F$1=$W$1,INDEX($V$2:$V$100,MATCH(0,INDEX(COUNTIF($E$1:$E39,$V$2:$V$100)+(COUNTIF($V$2:$V$100,$V$2:$V$100)&lt;&gt;1),0,0),0)),$F$1=$Y$1,INDEX($X$2:$X$100,MATCH(0,INDEX(COUNTIF($E$1:$E39,$X$2:$X$100)+(COUNTIF($X$2:$X$100,$X$2:$X$100)&lt;&gt;1),0,0),0)),$F$1=$AA$1,INDEX($Z$2:$Z$100,MATCH(0,INDEX(COUNTIF($E$1:$E39,$Z$2:$Z$100)+(COUNTIF($Z$2:$Z$100,$Z$2:$Z$100)&lt;&gt;1),0,0),0)),TRUE,"")),$E$1="GENINTEGRATION 22 Attributes",INDEX($H$2:$H$100,MATCH(0,INDEX(COUNTIF($E$1:$E39,$H$2:$H$100)+(COUNTIF($H$2:$H$100,$H$2:$H$100)&lt;&gt;1),0,0),0)),TRUE,""),"")</f>
        <v>tool_consumer_instance_DemoData727</v>
      </c>
      <c r="F40" s="213" t="str" cm="1">
        <f t="array" ref="F40">IFERROR(_xlfn.IFS($F$1=$Q$1,_xlfn.XLOOKUP($E40,$P$2:$P$100,Q$2:Q$100)&amp;"",$F$1=$S$1,_xlfn.XLOOKUP($E40,$R$2:$R$100,$S$2:$S$100)&amp;"",$F$1=$Y$1,_xlfn.XLOOKUP($E40,$X$2:$X$100,$Y$2:$Y$100)&amp;"",$F$1=$U$1,_xlfn.XLOOKUP($E40,$T$2:$T$100,$U$2:$U$100)&amp;"",$F$1=$W$1,_xlfn.XLOOKUP($E40,$V$2:$V$100,$W$2:$W$100)&amp;"",$F$1=$AA$1,_xlfn.XLOOKUP($E40,$Z$2:$Z$100,$AA$2:$AA$100)&amp;"",TRUE, ""),"")</f>
        <v>https://purl.demodata7.org/spec/GENINTEGRATION/clPRODUCT4 m/tool_platform|DemoData727</v>
      </c>
      <c r="G40" s="215" t="str" cm="1">
        <f t="array" ref="G40">IFERROR(IF($F40&lt;&gt;"",_xlfn.IFS($F$1="LM7 31 ClPRODUCT4 ms","LM7",$F$1="LMS1 31 ClPRODUCT4 ms","CV",$F$1="LMS2 31 ClPRODUCT4 ms","CL",$F$1="LMS5 31 ClPRODUCT4 ms","JZ",$F$1="LMS8 31 ClPRODUCT4 ms","DL",$F$1="LMS6 31 ClPRODUCT4 ms","MD",TRUE, ""),IF(AND($E$1="GENINTEGRATION 22 Attributes",$E40&lt;&gt;""),"22","")),"")</f>
        <v>CV</v>
      </c>
      <c r="H40" s="21" t="s">
        <v>684</v>
      </c>
      <c r="I40" s="21" t="s">
        <v>795</v>
      </c>
      <c r="J40" s="229" t="s">
        <v>48</v>
      </c>
      <c r="K40" s="229" t="s">
        <v>48</v>
      </c>
      <c r="L40" s="229" t="s">
        <v>48</v>
      </c>
      <c r="M40" s="229" t="s">
        <v>48</v>
      </c>
      <c r="N40" s="229" t="s">
        <v>48</v>
      </c>
      <c r="O40" s="229" t="s">
        <v>48</v>
      </c>
      <c r="P40" s="230" t="str">
        <f t="shared" si="12"/>
        <v>tool_consumer_instance_contact_PRODCUT4</v>
      </c>
      <c r="Q40" s="222" t="str">
        <f t="shared" si="13"/>
        <v>https://purl.demodata7.org/spec/GENINTEGRATION/clPRODUCT4 m/tool_platform|PRODCUT4</v>
      </c>
      <c r="R40" s="230" t="str">
        <f t="shared" si="14"/>
        <v>tool_consumer_instance_contact_PRODCUT4</v>
      </c>
      <c r="S40" s="222" t="str">
        <f t="shared" si="15"/>
        <v>https://purl.demodata7.org/spec/GENINTEGRATION/clPRODUCT4 m/tool_platform|PRODCUT4</v>
      </c>
      <c r="T40" s="230" t="str">
        <f t="shared" si="16"/>
        <v>tool_consumer_instance_contact_PRODCUT4</v>
      </c>
      <c r="U40" s="222" t="str">
        <f t="shared" si="17"/>
        <v>https://purl.demodata7.org/spec/GENINTEGRATION/clPRODUCT4 m/tool_platform|PRODCUT4</v>
      </c>
      <c r="V40" s="230" t="str">
        <f t="shared" si="18"/>
        <v>tool_consumer_instance_contact_PRODCUT4</v>
      </c>
      <c r="W40" s="222" t="str">
        <f t="shared" si="19"/>
        <v>https://purl.demodata7.org/spec/GENINTEGRATION/clPRODUCT4 m/tool_platform|PRODCUT4</v>
      </c>
      <c r="X40" s="230" t="str">
        <f t="shared" si="20"/>
        <v>tool_consumer_instance_contact_PRODCUT4</v>
      </c>
      <c r="Y40" s="222" t="str">
        <f t="shared" si="21"/>
        <v>https://purl.demodata7.org/spec/GENINTEGRATION/clPRODUCT4 m/tool_platform|PRODCUT4</v>
      </c>
      <c r="Z40" s="230" t="str">
        <f t="shared" si="10"/>
        <v>tool_consumer_instance_contact_PRODCUT4</v>
      </c>
      <c r="AA40" s="222" t="str">
        <f t="shared" si="11"/>
        <v>https://purl.demodata7.org/spec/GENINTEGRATION/clPRODUCT4 m/tool_platform|PRODCUT4</v>
      </c>
    </row>
    <row r="41" spans="5:27" ht="20.100000000000001" customHeight="1" x14ac:dyDescent="0.55000000000000004">
      <c r="E41" s="217" t="str" cm="1">
        <f t="array" ref="E41">IFERROR(_xlfn.IFS($E$1="GENINTEGRATION 22 Parameters",(_xlfn.IFS($F$1=$Q$1,INDEX($P$2:$P$100,MATCH(0,INDEX(COUNTIF($E$1:$E40,$P$2:$P$100)+(COUNTIF($P$2:$P$100,$P$2:$P$100)&lt;&gt;1),0,0),0)),$F$1=$S$1,INDEX($R$2:$R$100,MATCH(0,INDEX(COUNTIF($E$1:$E40,$R$2:$R$100)+(COUNTIF($R$2:$R$100,$R$2:$R$100)&lt;&gt;1),0,0),0)),$F$1=$U$1,INDEX($T$2:$T$100,MATCH(0,INDEX(COUNTIF($E$1:$E40,$T$2:$T$100)+(COUNTIF($T$2:$T$100,$T$2:$T$100)&lt;&gt;1),0,0),0)),$F$1=$W$1,INDEX($V$2:$V$100,MATCH(0,INDEX(COUNTIF($E$1:$E40,$V$2:$V$100)+(COUNTIF($V$2:$V$100,$V$2:$V$100)&lt;&gt;1),0,0),0)),$F$1=$Y$1,INDEX($X$2:$X$100,MATCH(0,INDEX(COUNTIF($E$1:$E40,$X$2:$X$100)+(COUNTIF($X$2:$X$100,$X$2:$X$100)&lt;&gt;1),0,0),0)),$F$1=$AA$1,INDEX($Z$2:$Z$100,MATCH(0,INDEX(COUNTIF($E$1:$E40,$Z$2:$Z$100)+(COUNTIF($Z$2:$Z$100,$Z$2:$Z$100)&lt;&gt;1),0,0),0)),TRUE,"")),$E$1="GENINTEGRATION 22 Attributes",INDEX($H$2:$H$100,MATCH(0,INDEX(COUNTIF($E$1:$E40,$H$2:$H$100)+(COUNTIF($H$2:$H$100,$H$2:$H$100)&lt;&gt;1),0,0),0)),TRUE,""),"")</f>
        <v>tool_consumer_instance_name</v>
      </c>
      <c r="F41" s="213" t="str" cm="1">
        <f t="array" ref="F41">IFERROR(_xlfn.IFS($F$1=$Q$1,_xlfn.XLOOKUP($E41,$P$2:$P$100,Q$2:Q$100)&amp;"",$F$1=$S$1,_xlfn.XLOOKUP($E41,$R$2:$R$100,$S$2:$S$100)&amp;"",$F$1=$Y$1,_xlfn.XLOOKUP($E41,$X$2:$X$100,$Y$2:$Y$100)&amp;"",$F$1=$U$1,_xlfn.XLOOKUP($E41,$T$2:$T$100,$U$2:$U$100)&amp;"",$F$1=$W$1,_xlfn.XLOOKUP($E41,$V$2:$V$100,$W$2:$W$100)&amp;"",$F$1=$AA$1,_xlfn.XLOOKUP($E41,$Z$2:$Z$100,$AA$2:$AA$100)&amp;"",TRUE, ""),"")</f>
        <v>https://purl.demodata7.org/spec/GENINTEGRATION/clPRODUCT4 m/tool_platform|name</v>
      </c>
      <c r="G41" s="215" t="str" cm="1">
        <f t="array" ref="G41">IFERROR(IF($F41&lt;&gt;"",_xlfn.IFS($F$1="LM7 31 ClPRODUCT4 ms","LM7",$F$1="LMS1 31 ClPRODUCT4 ms","CV",$F$1="LMS2 31 ClPRODUCT4 ms","CL",$F$1="LMS5 31 ClPRODUCT4 ms","JZ",$F$1="LMS8 31 ClPRODUCT4 ms","DL",$F$1="LMS6 31 ClPRODUCT4 ms","MD",TRUE, ""),IF(AND($E$1="GENINTEGRATION 22 Attributes",$E41&lt;&gt;""),"22","")),"")</f>
        <v>CV</v>
      </c>
      <c r="H41" s="21" t="s">
        <v>123</v>
      </c>
      <c r="I41" s="21" t="s">
        <v>796</v>
      </c>
      <c r="J41" s="229" t="s">
        <v>48</v>
      </c>
      <c r="K41" s="229" t="s">
        <v>48</v>
      </c>
      <c r="L41" s="229" t="s">
        <v>48</v>
      </c>
      <c r="M41" s="229" t="s">
        <v>48</v>
      </c>
      <c r="N41" s="229" t="s">
        <v>48</v>
      </c>
      <c r="O41" s="229" t="s">
        <v>48</v>
      </c>
      <c r="P41" s="230" t="str">
        <f t="shared" si="12"/>
        <v>tool_consumer_instance_description</v>
      </c>
      <c r="Q41" s="222" t="str">
        <f t="shared" si="13"/>
        <v>https://purl.demodata7.org/spec/GENINTEGRATION/clPRODUCT4 m/tool_platform|description</v>
      </c>
      <c r="R41" s="230" t="str">
        <f t="shared" si="14"/>
        <v>tool_consumer_instance_description</v>
      </c>
      <c r="S41" s="222" t="str">
        <f t="shared" si="15"/>
        <v>https://purl.demodata7.org/spec/GENINTEGRATION/clPRODUCT4 m/tool_platform|description</v>
      </c>
      <c r="T41" s="230" t="str">
        <f t="shared" si="16"/>
        <v>tool_consumer_instance_description</v>
      </c>
      <c r="U41" s="222" t="str">
        <f t="shared" si="17"/>
        <v>https://purl.demodata7.org/spec/GENINTEGRATION/clPRODUCT4 m/tool_platform|description</v>
      </c>
      <c r="V41" s="230" t="str">
        <f t="shared" si="18"/>
        <v>tool_consumer_instance_description</v>
      </c>
      <c r="W41" s="222" t="str">
        <f t="shared" si="19"/>
        <v>https://purl.demodata7.org/spec/GENINTEGRATION/clPRODUCT4 m/tool_platform|description</v>
      </c>
      <c r="X41" s="230" t="str">
        <f t="shared" si="20"/>
        <v>tool_consumer_instance_description</v>
      </c>
      <c r="Y41" s="222" t="str">
        <f t="shared" si="21"/>
        <v>https://purl.demodata7.org/spec/GENINTEGRATION/clPRODUCT4 m/tool_platform|description</v>
      </c>
      <c r="Z41" s="230" t="str">
        <f t="shared" si="10"/>
        <v>tool_consumer_instance_description</v>
      </c>
      <c r="AA41" s="222" t="str">
        <f t="shared" si="11"/>
        <v>https://purl.demodata7.org/spec/GENINTEGRATION/clPRODUCT4 m/tool_platform|description</v>
      </c>
    </row>
    <row r="42" spans="5:27" ht="20.100000000000001" customHeight="1" x14ac:dyDescent="0.55000000000000004">
      <c r="E42" s="217" t="str" cm="1">
        <f t="array" ref="E42">IFERROR(_xlfn.IFS($E$1="GENINTEGRATION 22 Parameters",(_xlfn.IFS($F$1=$Q$1,INDEX($P$2:$P$100,MATCH(0,INDEX(COUNTIF($E$1:$E41,$P$2:$P$100)+(COUNTIF($P$2:$P$100,$P$2:$P$100)&lt;&gt;1),0,0),0)),$F$1=$S$1,INDEX($R$2:$R$100,MATCH(0,INDEX(COUNTIF($E$1:$E41,$R$2:$R$100)+(COUNTIF($R$2:$R$100,$R$2:$R$100)&lt;&gt;1),0,0),0)),$F$1=$U$1,INDEX($T$2:$T$100,MATCH(0,INDEX(COUNTIF($E$1:$E41,$T$2:$T$100)+(COUNTIF($T$2:$T$100,$T$2:$T$100)&lt;&gt;1),0,0),0)),$F$1=$W$1,INDEX($V$2:$V$100,MATCH(0,INDEX(COUNTIF($E$1:$E41,$V$2:$V$100)+(COUNTIF($V$2:$V$100,$V$2:$V$100)&lt;&gt;1),0,0),0)),$F$1=$Y$1,INDEX($X$2:$X$100,MATCH(0,INDEX(COUNTIF($E$1:$E41,$X$2:$X$100)+(COUNTIF($X$2:$X$100,$X$2:$X$100)&lt;&gt;1),0,0),0)),$F$1=$AA$1,INDEX($Z$2:$Z$100,MATCH(0,INDEX(COUNTIF($E$1:$E41,$Z$2:$Z$100)+(COUNTIF($Z$2:$Z$100,$Z$2:$Z$100)&lt;&gt;1),0,0),0)),TRUE,"")),$E$1="GENINTEGRATION 22 Attributes",INDEX($H$2:$H$100,MATCH(0,INDEX(COUNTIF($E$1:$E41,$H$2:$H$100)+(COUNTIF($H$2:$H$100,$H$2:$H$100)&lt;&gt;1),0,0),0)),TRUE,""),"")</f>
        <v>tool_consumer_instance_url</v>
      </c>
      <c r="F42" s="213" t="str" cm="1">
        <f t="array" ref="F42">IFERROR(_xlfn.IFS($F$1=$Q$1,_xlfn.XLOOKUP($E42,$P$2:$P$100,Q$2:Q$100)&amp;"",$F$1=$S$1,_xlfn.XLOOKUP($E42,$R$2:$R$100,$S$2:$S$100)&amp;"",$F$1=$Y$1,_xlfn.XLOOKUP($E42,$X$2:$X$100,$Y$2:$Y$100)&amp;"",$F$1=$U$1,_xlfn.XLOOKUP($E42,$T$2:$T$100,$U$2:$U$100)&amp;"",$F$1=$W$1,_xlfn.XLOOKUP($E42,$V$2:$V$100,$W$2:$W$100)&amp;"",$F$1=$AA$1,_xlfn.XLOOKUP($E42,$Z$2:$Z$100,$AA$2:$AA$100)&amp;"",TRUE, ""),"")</f>
        <v>https://purl.demodata7.org/spec/GENINTEGRATION/clPRODUCT4 m/tool_platform|url</v>
      </c>
      <c r="G42" s="215" t="str" cm="1">
        <f t="array" ref="G42">IFERROR(IF($F42&lt;&gt;"",_xlfn.IFS($F$1="LM7 31 ClPRODUCT4 ms","LM7",$F$1="LMS1 31 ClPRODUCT4 ms","CV",$F$1="LMS2 31 ClPRODUCT4 ms","CL",$F$1="LMS5 31 ClPRODUCT4 ms","JZ",$F$1="LMS8 31 ClPRODUCT4 ms","DL",$F$1="LMS6 31 ClPRODUCT4 ms","MD",TRUE, ""),IF(AND($E$1="GENINTEGRATION 22 Attributes",$E42&lt;&gt;""),"22","")),"")</f>
        <v>CV</v>
      </c>
      <c r="H42" s="21" t="s">
        <v>721</v>
      </c>
      <c r="I42" s="21" t="s">
        <v>797</v>
      </c>
      <c r="J42" s="229" t="s">
        <v>48</v>
      </c>
      <c r="K42" s="229" t="s">
        <v>48</v>
      </c>
      <c r="L42" s="229" t="s">
        <v>48</v>
      </c>
      <c r="M42" s="229" t="s">
        <v>48</v>
      </c>
      <c r="N42" s="229" t="s">
        <v>48</v>
      </c>
      <c r="O42" s="229" t="s">
        <v>48</v>
      </c>
      <c r="P42" s="230" t="str">
        <f t="shared" si="12"/>
        <v>tool_consumer_instance_DemoData727</v>
      </c>
      <c r="Q42" s="222" t="str">
        <f t="shared" si="13"/>
        <v>https://purl.demodata7.org/spec/GENINTEGRATION/clPRODUCT4 m/tool_platform|DemoData727</v>
      </c>
      <c r="R42" s="230" t="str">
        <f t="shared" si="14"/>
        <v>tool_consumer_instance_DemoData727</v>
      </c>
      <c r="S42" s="222" t="str">
        <f t="shared" si="15"/>
        <v>https://purl.demodata7.org/spec/GENINTEGRATION/clPRODUCT4 m/tool_platform|DemoData727</v>
      </c>
      <c r="T42" s="230" t="str">
        <f t="shared" si="16"/>
        <v>tool_consumer_instance_DemoData727</v>
      </c>
      <c r="U42" s="222" t="str">
        <f t="shared" si="17"/>
        <v>https://purl.demodata7.org/spec/GENINTEGRATION/clPRODUCT4 m/tool_platform|DemoData727</v>
      </c>
      <c r="V42" s="230" t="str">
        <f t="shared" si="18"/>
        <v>tool_consumer_instance_DemoData727</v>
      </c>
      <c r="W42" s="222" t="str">
        <f t="shared" si="19"/>
        <v>https://purl.demodata7.org/spec/GENINTEGRATION/clPRODUCT4 m/tool_platform|DemoData727</v>
      </c>
      <c r="X42" s="230" t="str">
        <f t="shared" si="20"/>
        <v>tool_consumer_instance_DemoData727</v>
      </c>
      <c r="Y42" s="222" t="str">
        <f t="shared" si="21"/>
        <v>https://purl.demodata7.org/spec/GENINTEGRATION/clPRODUCT4 m/tool_platform|DemoData727</v>
      </c>
      <c r="Z42" s="230" t="str">
        <f t="shared" si="10"/>
        <v>tool_consumer_instance_DemoData727</v>
      </c>
      <c r="AA42" s="222" t="str">
        <f t="shared" si="11"/>
        <v>https://purl.demodata7.org/spec/GENINTEGRATION/clPRODUCT4 m/tool_platform|DemoData727</v>
      </c>
    </row>
    <row r="43" spans="5:27" ht="20.100000000000001" customHeight="1" x14ac:dyDescent="0.55000000000000004">
      <c r="E43" s="217" t="str" cm="1">
        <f t="array" ref="E43">IFERROR(_xlfn.IFS($E$1="GENINTEGRATION 22 Parameters",(_xlfn.IFS($F$1=$Q$1,INDEX($P$2:$P$100,MATCH(0,INDEX(COUNTIF($E$1:$E42,$P$2:$P$100)+(COUNTIF($P$2:$P$100,$P$2:$P$100)&lt;&gt;1),0,0),0)),$F$1=$S$1,INDEX($R$2:$R$100,MATCH(0,INDEX(COUNTIF($E$1:$E42,$R$2:$R$100)+(COUNTIF($R$2:$R$100,$R$2:$R$100)&lt;&gt;1),0,0),0)),$F$1=$U$1,INDEX($T$2:$T$100,MATCH(0,INDEX(COUNTIF($E$1:$E42,$T$2:$T$100)+(COUNTIF($T$2:$T$100,$T$2:$T$100)&lt;&gt;1),0,0),0)),$F$1=$W$1,INDEX($V$2:$V$100,MATCH(0,INDEX(COUNTIF($E$1:$E42,$V$2:$V$100)+(COUNTIF($V$2:$V$100,$V$2:$V$100)&lt;&gt;1),0,0),0)),$F$1=$Y$1,INDEX($X$2:$X$100,MATCH(0,INDEX(COUNTIF($E$1:$E42,$X$2:$X$100)+(COUNTIF($X$2:$X$100,$X$2:$X$100)&lt;&gt;1),0,0),0)),$F$1=$AA$1,INDEX($Z$2:$Z$100,MATCH(0,INDEX(COUNTIF($E$1:$E42,$Z$2:$Z$100)+(COUNTIF($Z$2:$Z$100,$Z$2:$Z$100)&lt;&gt;1),0,0),0)),TRUE,"")),$E$1="GENINTEGRATION 22 Attributes",INDEX($H$2:$H$100,MATCH(0,INDEX(COUNTIF($E$1:$E42,$H$2:$H$100)+(COUNTIF($H$2:$H$100,$H$2:$H$100)&lt;&gt;1),0,0),0)),TRUE,""),"")</f>
        <v>user_id</v>
      </c>
      <c r="F43" s="213" t="str" cm="1">
        <f t="array" ref="F43">IFERROR(_xlfn.IFS($F$1=$Q$1,_xlfn.XLOOKUP($E43,$P$2:$P$100,Q$2:Q$100)&amp;"",$F$1=$S$1,_xlfn.XLOOKUP($E43,$R$2:$R$100,$S$2:$S$100)&amp;"",$F$1=$Y$1,_xlfn.XLOOKUP($E43,$X$2:$X$100,$Y$2:$Y$100)&amp;"",$F$1=$U$1,_xlfn.XLOOKUP($E43,$T$2:$T$100,$U$2:$U$100)&amp;"",$F$1=$W$1,_xlfn.XLOOKUP($E43,$V$2:$V$100,$W$2:$W$100)&amp;"",$F$1=$AA$1,_xlfn.XLOOKUP($E43,$Z$2:$Z$100,$AA$2:$AA$100)&amp;"",TRUE, ""),"")</f>
        <v>sub</v>
      </c>
      <c r="G43" s="215" t="str" cm="1">
        <f t="array" ref="G43">IFERROR(IF($F43&lt;&gt;"",_xlfn.IFS($F$1="LM7 31 ClPRODUCT4 ms","LM7",$F$1="LMS1 31 ClPRODUCT4 ms","CV",$F$1="LMS2 31 ClPRODUCT4 ms","CL",$F$1="LMS5 31 ClPRODUCT4 ms","JZ",$F$1="LMS8 31 ClPRODUCT4 ms","DL",$F$1="LMS6 31 ClPRODUCT4 ms","MD",TRUE, ""),IF(AND($E$1="GENINTEGRATION 22 Attributes",$E43&lt;&gt;""),"22","")),"")</f>
        <v>CV</v>
      </c>
      <c r="H43" s="21" t="s">
        <v>124</v>
      </c>
      <c r="I43" s="21" t="s">
        <v>798</v>
      </c>
      <c r="J43" s="229" t="s">
        <v>48</v>
      </c>
      <c r="K43" s="229" t="s">
        <v>48</v>
      </c>
      <c r="L43" s="229" t="s">
        <v>48</v>
      </c>
      <c r="M43" s="229" t="s">
        <v>48</v>
      </c>
      <c r="N43" s="229" t="s">
        <v>48</v>
      </c>
      <c r="O43" s="229" t="s">
        <v>48</v>
      </c>
      <c r="P43" s="230" t="str">
        <f t="shared" si="12"/>
        <v>tool_consumer_instance_name</v>
      </c>
      <c r="Q43" s="222" t="str">
        <f t="shared" si="13"/>
        <v>https://purl.demodata7.org/spec/GENINTEGRATION/clPRODUCT4 m/tool_platform|name</v>
      </c>
      <c r="R43" s="230" t="str">
        <f t="shared" si="14"/>
        <v>tool_consumer_instance_name</v>
      </c>
      <c r="S43" s="222" t="str">
        <f t="shared" si="15"/>
        <v>https://purl.demodata7.org/spec/GENINTEGRATION/clPRODUCT4 m/tool_platform|name</v>
      </c>
      <c r="T43" s="230" t="str">
        <f t="shared" si="16"/>
        <v>tool_consumer_instance_name</v>
      </c>
      <c r="U43" s="222" t="str">
        <f t="shared" si="17"/>
        <v>https://purl.demodata7.org/spec/GENINTEGRATION/clPRODUCT4 m/tool_platform|name</v>
      </c>
      <c r="V43" s="230" t="str">
        <f t="shared" si="18"/>
        <v>tool_consumer_instance_name</v>
      </c>
      <c r="W43" s="222" t="str">
        <f t="shared" si="19"/>
        <v>https://purl.demodata7.org/spec/GENINTEGRATION/clPRODUCT4 m/tool_platform|name</v>
      </c>
      <c r="X43" s="230" t="str">
        <f t="shared" si="20"/>
        <v>tool_consumer_instance_name</v>
      </c>
      <c r="Y43" s="222" t="str">
        <f t="shared" si="21"/>
        <v>https://purl.demodata7.org/spec/GENINTEGRATION/clPRODUCT4 m/tool_platform|name</v>
      </c>
      <c r="Z43" s="230" t="str">
        <f t="shared" si="10"/>
        <v>tool_consumer_instance_name</v>
      </c>
      <c r="AA43" s="222" t="str">
        <f t="shared" si="11"/>
        <v>https://purl.demodata7.org/spec/GENINTEGRATION/clPRODUCT4 m/tool_platform|name</v>
      </c>
    </row>
    <row r="44" spans="5:27" ht="20.100000000000001" customHeight="1" x14ac:dyDescent="0.55000000000000004">
      <c r="E44" s="217" t="str" cm="1">
        <f t="array" ref="E44">IFERROR(_xlfn.IFS($E$1="GENINTEGRATION 22 Parameters",(_xlfn.IFS($F$1=$Q$1,INDEX($P$2:$P$100,MATCH(0,INDEX(COUNTIF($E$1:$E43,$P$2:$P$100)+(COUNTIF($P$2:$P$100,$P$2:$P$100)&lt;&gt;1),0,0),0)),$F$1=$S$1,INDEX($R$2:$R$100,MATCH(0,INDEX(COUNTIF($E$1:$E43,$R$2:$R$100)+(COUNTIF($R$2:$R$100,$R$2:$R$100)&lt;&gt;1),0,0),0)),$F$1=$U$1,INDEX($T$2:$T$100,MATCH(0,INDEX(COUNTIF($E$1:$E43,$T$2:$T$100)+(COUNTIF($T$2:$T$100,$T$2:$T$100)&lt;&gt;1),0,0),0)),$F$1=$W$1,INDEX($V$2:$V$100,MATCH(0,INDEX(COUNTIF($E$1:$E43,$V$2:$V$100)+(COUNTIF($V$2:$V$100,$V$2:$V$100)&lt;&gt;1),0,0),0)),$F$1=$Y$1,INDEX($X$2:$X$100,MATCH(0,INDEX(COUNTIF($E$1:$E43,$X$2:$X$100)+(COUNTIF($X$2:$X$100,$X$2:$X$100)&lt;&gt;1),0,0),0)),$F$1=$AA$1,INDEX($Z$2:$Z$100,MATCH(0,INDEX(COUNTIF($E$1:$E43,$Z$2:$Z$100)+(COUNTIF($Z$2:$Z$100,$Z$2:$Z$100)&lt;&gt;1),0,0),0)),TRUE,"")),$E$1="GENINTEGRATION 22 Attributes",INDEX($H$2:$H$100,MATCH(0,INDEX(COUNTIF($E$1:$E43,$H$2:$H$100)+(COUNTIF($H$2:$H$100,$H$2:$H$100)&lt;&gt;1),0,0),0)),TRUE,""),"")</f>
        <v>user_image</v>
      </c>
      <c r="F44" s="213" t="str" cm="1">
        <f t="array" ref="F44">IFERROR(_xlfn.IFS($F$1=$Q$1,_xlfn.XLOOKUP($E44,$P$2:$P$100,Q$2:Q$100)&amp;"",$F$1=$S$1,_xlfn.XLOOKUP($E44,$R$2:$R$100,$S$2:$S$100)&amp;"",$F$1=$Y$1,_xlfn.XLOOKUP($E44,$X$2:$X$100,$Y$2:$Y$100)&amp;"",$F$1=$U$1,_xlfn.XLOOKUP($E44,$T$2:$T$100,$U$2:$U$100)&amp;"",$F$1=$W$1,_xlfn.XLOOKUP($E44,$V$2:$V$100,$W$2:$W$100)&amp;"",$F$1=$AA$1,_xlfn.XLOOKUP($E44,$Z$2:$Z$100,$AA$2:$AA$100)&amp;"",TRUE, ""),"")</f>
        <v>picture</v>
      </c>
      <c r="G44" s="215" t="str" cm="1">
        <f t="array" ref="G44">IFERROR(IF($F44&lt;&gt;"",_xlfn.IFS($F$1="LM7 31 ClPRODUCT4 ms","LM7",$F$1="LMS1 31 ClPRODUCT4 ms","CV",$F$1="LMS2 31 ClPRODUCT4 ms","CL",$F$1="LMS5 31 ClPRODUCT4 ms","JZ",$F$1="LMS8 31 ClPRODUCT4 ms","DL",$F$1="LMS6 31 ClPRODUCT4 ms","MD",TRUE, ""),IF(AND($E$1="GENINTEGRATION 22 Attributes",$E44&lt;&gt;""),"22","")),"")</f>
        <v>CV</v>
      </c>
      <c r="H44" s="21" t="s">
        <v>125</v>
      </c>
      <c r="I44" s="21" t="s">
        <v>799</v>
      </c>
      <c r="J44" s="229" t="s">
        <v>48</v>
      </c>
      <c r="K44" s="229" t="s">
        <v>48</v>
      </c>
      <c r="L44" s="229" t="s">
        <v>48</v>
      </c>
      <c r="M44" s="229" t="s">
        <v>48</v>
      </c>
      <c r="N44" s="229" t="s">
        <v>48</v>
      </c>
      <c r="O44" s="229" t="s">
        <v>48</v>
      </c>
      <c r="P44" s="230" t="str">
        <f t="shared" ref="P44:P75" si="22">IF(AND($H44&lt;&gt;"",Q44&lt;&gt;""),$H44,"")</f>
        <v>tool_consumer_instance_url</v>
      </c>
      <c r="Q44" s="222" t="str">
        <f t="shared" si="13"/>
        <v>https://purl.demodata7.org/spec/GENINTEGRATION/clPRODUCT4 m/tool_platform|url</v>
      </c>
      <c r="R44" s="230" t="str">
        <f t="shared" si="14"/>
        <v>tool_consumer_instance_url</v>
      </c>
      <c r="S44" s="222" t="str">
        <f t="shared" si="15"/>
        <v>https://purl.demodata7.org/spec/GENINTEGRATION/clPRODUCT4 m/tool_platform|url</v>
      </c>
      <c r="T44" s="230" t="str">
        <f t="shared" si="16"/>
        <v>tool_consumer_instance_url</v>
      </c>
      <c r="U44" s="222" t="str">
        <f t="shared" si="17"/>
        <v>https://purl.demodata7.org/spec/GENINTEGRATION/clPRODUCT4 m/tool_platform|url</v>
      </c>
      <c r="V44" s="230" t="str">
        <f t="shared" si="18"/>
        <v>tool_consumer_instance_url</v>
      </c>
      <c r="W44" s="222" t="str">
        <f t="shared" si="19"/>
        <v>https://purl.demodata7.org/spec/GENINTEGRATION/clPRODUCT4 m/tool_platform|url</v>
      </c>
      <c r="X44" s="230" t="str">
        <f t="shared" si="20"/>
        <v>tool_consumer_instance_url</v>
      </c>
      <c r="Y44" s="222" t="str">
        <f t="shared" si="21"/>
        <v>https://purl.demodata7.org/spec/GENINTEGRATION/clPRODUCT4 m/tool_platform|url</v>
      </c>
      <c r="Z44" s="230" t="str">
        <f t="shared" si="10"/>
        <v>tool_consumer_instance_url</v>
      </c>
      <c r="AA44" s="222" t="str">
        <f t="shared" si="11"/>
        <v>https://purl.demodata7.org/spec/GENINTEGRATION/clPRODUCT4 m/tool_platform|url</v>
      </c>
    </row>
    <row r="45" spans="5:27" ht="20.100000000000001" customHeight="1" x14ac:dyDescent="0.55000000000000004">
      <c r="E45" s="217" t="str" cm="1">
        <f t="array" ref="E45">IFERROR(_xlfn.IFS($E$1="GENINTEGRATION 22 Parameters",(_xlfn.IFS($F$1=$Q$1,INDEX($P$2:$P$100,MATCH(0,INDEX(COUNTIF($E$1:$E44,$P$2:$P$100)+(COUNTIF($P$2:$P$100,$P$2:$P$100)&lt;&gt;1),0,0),0)),$F$1=$S$1,INDEX($R$2:$R$100,MATCH(0,INDEX(COUNTIF($E$1:$E44,$R$2:$R$100)+(COUNTIF($R$2:$R$100,$R$2:$R$100)&lt;&gt;1),0,0),0)),$F$1=$U$1,INDEX($T$2:$T$100,MATCH(0,INDEX(COUNTIF($E$1:$E44,$T$2:$T$100)+(COUNTIF($T$2:$T$100,$T$2:$T$100)&lt;&gt;1),0,0),0)),$F$1=$W$1,INDEX($V$2:$V$100,MATCH(0,INDEX(COUNTIF($E$1:$E44,$V$2:$V$100)+(COUNTIF($V$2:$V$100,$V$2:$V$100)&lt;&gt;1),0,0),0)),$F$1=$Y$1,INDEX($X$2:$X$100,MATCH(0,INDEX(COUNTIF($E$1:$E44,$X$2:$X$100)+(COUNTIF($X$2:$X$100,$X$2:$X$100)&lt;&gt;1),0,0),0)),$F$1=$AA$1,INDEX($Z$2:$Z$100,MATCH(0,INDEX(COUNTIF($E$1:$E44,$Z$2:$Z$100)+(COUNTIF($Z$2:$Z$100,$Z$2:$Z$100)&lt;&gt;1),0,0),0)),TRUE,"")),$E$1="GENINTEGRATION 22 Attributes",INDEX($H$2:$H$100,MATCH(0,INDEX(COUNTIF($E$1:$E44,$H$2:$H$100)+(COUNTIF($H$2:$H$100,$H$2:$H$100)&lt;&gt;1),0,0),0)),TRUE,""),"")</f>
        <v/>
      </c>
      <c r="F45" s="213" t="str" cm="1">
        <f t="array" ref="F45">IFERROR(_xlfn.IFS($F$1=$Q$1,_xlfn.XLOOKUP($E45,$P$2:$P$100,Q$2:Q$100)&amp;"",$F$1=$S$1,_xlfn.XLOOKUP($E45,$R$2:$R$100,$S$2:$S$100)&amp;"",$F$1=$Y$1,_xlfn.XLOOKUP($E45,$X$2:$X$100,$Y$2:$Y$100)&amp;"",$F$1=$U$1,_xlfn.XLOOKUP($E45,$T$2:$T$100,$U$2:$U$100)&amp;"",$F$1=$W$1,_xlfn.XLOOKUP($E45,$V$2:$V$100,$W$2:$W$100)&amp;"",$F$1=$AA$1,_xlfn.XLOOKUP($E45,$Z$2:$Z$100,$AA$2:$AA$100)&amp;"",TRUE, ""),"")</f>
        <v/>
      </c>
      <c r="G45" s="215" t="str" cm="1">
        <f t="array" ref="G45">IFERROR(IF($F45&lt;&gt;"",_xlfn.IFS($F$1="LM7 31 ClPRODUCT4 ms","LM7",$F$1="LMS1 31 ClPRODUCT4 ms","CV",$F$1="LMS2 31 ClPRODUCT4 ms","CL",$F$1="LMS5 31 ClPRODUCT4 ms","JZ",$F$1="LMS8 31 ClPRODUCT4 ms","DL",$F$1="LMS6 31 ClPRODUCT4 ms","MD",TRUE, ""),IF(AND($E$1="GENINTEGRATION 22 Attributes",$E45&lt;&gt;""),"22","")),"")</f>
        <v/>
      </c>
      <c r="H45" s="21" t="s">
        <v>90</v>
      </c>
      <c r="I45" s="21" t="s">
        <v>97</v>
      </c>
      <c r="J45" s="229" t="s">
        <v>48</v>
      </c>
      <c r="K45" s="229" t="s">
        <v>48</v>
      </c>
      <c r="L45" s="229" t="s">
        <v>48</v>
      </c>
      <c r="M45" s="229" t="s">
        <v>48</v>
      </c>
      <c r="N45" s="229" t="s">
        <v>48</v>
      </c>
      <c r="O45" s="229" t="s">
        <v>48</v>
      </c>
      <c r="P45" s="230" t="str">
        <f t="shared" si="22"/>
        <v>user_id</v>
      </c>
      <c r="Q45" s="222" t="str">
        <f t="shared" si="13"/>
        <v>sub</v>
      </c>
      <c r="R45" s="230" t="str">
        <f t="shared" si="14"/>
        <v>user_id</v>
      </c>
      <c r="S45" s="222" t="str">
        <f t="shared" si="15"/>
        <v>sub</v>
      </c>
      <c r="T45" s="230" t="str">
        <f t="shared" si="16"/>
        <v>user_id</v>
      </c>
      <c r="U45" s="222" t="str">
        <f t="shared" si="17"/>
        <v>sub</v>
      </c>
      <c r="V45" s="230" t="str">
        <f t="shared" si="18"/>
        <v>user_id</v>
      </c>
      <c r="W45" s="222" t="str">
        <f t="shared" si="19"/>
        <v>sub</v>
      </c>
      <c r="X45" s="230" t="str">
        <f t="shared" si="20"/>
        <v>user_id</v>
      </c>
      <c r="Y45" s="222" t="str">
        <f t="shared" si="21"/>
        <v>sub</v>
      </c>
      <c r="Z45" s="230" t="str">
        <f t="shared" si="10"/>
        <v>user_id</v>
      </c>
      <c r="AA45" s="222" t="str">
        <f t="shared" si="11"/>
        <v>sub</v>
      </c>
    </row>
    <row r="46" spans="5:27" ht="20.100000000000001" customHeight="1" x14ac:dyDescent="0.55000000000000004">
      <c r="E46" s="217" t="str" cm="1">
        <f t="array" ref="E46">IFERROR(_xlfn.IFS($E$1="GENINTEGRATION 22 Parameters",(_xlfn.IFS($F$1=$Q$1,INDEX($P$2:$P$100,MATCH(0,INDEX(COUNTIF($E$1:$E45,$P$2:$P$100)+(COUNTIF($P$2:$P$100,$P$2:$P$100)&lt;&gt;1),0,0),0)),$F$1=$S$1,INDEX($R$2:$R$100,MATCH(0,INDEX(COUNTIF($E$1:$E45,$R$2:$R$100)+(COUNTIF($R$2:$R$100,$R$2:$R$100)&lt;&gt;1),0,0),0)),$F$1=$U$1,INDEX($T$2:$T$100,MATCH(0,INDEX(COUNTIF($E$1:$E45,$T$2:$T$100)+(COUNTIF($T$2:$T$100,$T$2:$T$100)&lt;&gt;1),0,0),0)),$F$1=$W$1,INDEX($V$2:$V$100,MATCH(0,INDEX(COUNTIF($E$1:$E45,$V$2:$V$100)+(COUNTIF($V$2:$V$100,$V$2:$V$100)&lt;&gt;1),0,0),0)),$F$1=$Y$1,INDEX($X$2:$X$100,MATCH(0,INDEX(COUNTIF($E$1:$E45,$X$2:$X$100)+(COUNTIF($X$2:$X$100,$X$2:$X$100)&lt;&gt;1),0,0),0)),$F$1=$AA$1,INDEX($Z$2:$Z$100,MATCH(0,INDEX(COUNTIF($E$1:$E45,$Z$2:$Z$100)+(COUNTIF($Z$2:$Z$100,$Z$2:$Z$100)&lt;&gt;1),0,0),0)),TRUE,"")),$E$1="GENINTEGRATION 22 Attributes",INDEX($H$2:$H$100,MATCH(0,INDEX(COUNTIF($E$1:$E45,$H$2:$H$100)+(COUNTIF($H$2:$H$100,$H$2:$H$100)&lt;&gt;1),0,0),0)),TRUE,""),"")</f>
        <v/>
      </c>
      <c r="F46" s="213" t="str" cm="1">
        <f t="array" ref="F46">IFERROR(_xlfn.IFS($F$1=$Q$1,_xlfn.XLOOKUP($E46,$P$2:$P$100,Q$2:Q$100)&amp;"",$F$1=$S$1,_xlfn.XLOOKUP($E46,$R$2:$R$100,$S$2:$S$100)&amp;"",$F$1=$Y$1,_xlfn.XLOOKUP($E46,$X$2:$X$100,$Y$2:$Y$100)&amp;"",$F$1=$U$1,_xlfn.XLOOKUP($E46,$T$2:$T$100,$U$2:$U$100)&amp;"",$F$1=$W$1,_xlfn.XLOOKUP($E46,$V$2:$V$100,$W$2:$W$100)&amp;"",$F$1=$AA$1,_xlfn.XLOOKUP($E46,$Z$2:$Z$100,$AA$2:$AA$100)&amp;"",TRUE, ""),"")</f>
        <v/>
      </c>
      <c r="G46" s="215" t="str" cm="1">
        <f t="array" ref="G46">IFERROR(IF($F46&lt;&gt;"",_xlfn.IFS($F$1="LM7 31 ClPRODUCT4 ms","LM7",$F$1="LMS1 31 ClPRODUCT4 ms","CV",$F$1="LMS2 31 ClPRODUCT4 ms","CL",$F$1="LMS5 31 ClPRODUCT4 ms","JZ",$F$1="LMS8 31 ClPRODUCT4 ms","DL",$F$1="LMS6 31 ClPRODUCT4 ms","MD",TRUE, ""),IF(AND($E$1="GENINTEGRATION 22 Attributes",$E46&lt;&gt;""),"22","")),"")</f>
        <v/>
      </c>
      <c r="H46" s="21" t="s">
        <v>126</v>
      </c>
      <c r="I46" s="21" t="s">
        <v>127</v>
      </c>
      <c r="J46" s="229" t="s">
        <v>48</v>
      </c>
      <c r="K46" s="229" t="s">
        <v>48</v>
      </c>
      <c r="L46" s="229" t="s">
        <v>48</v>
      </c>
      <c r="M46" s="229" t="s">
        <v>48</v>
      </c>
      <c r="N46" s="229" t="s">
        <v>48</v>
      </c>
      <c r="O46" s="229" t="s">
        <v>48</v>
      </c>
      <c r="P46" s="230" t="str">
        <f t="shared" si="22"/>
        <v>user_image</v>
      </c>
      <c r="Q46" s="222" t="str">
        <f t="shared" si="13"/>
        <v>picture</v>
      </c>
      <c r="R46" s="230" t="str">
        <f t="shared" si="14"/>
        <v>user_image</v>
      </c>
      <c r="S46" s="222" t="str">
        <f t="shared" si="15"/>
        <v>picture</v>
      </c>
      <c r="T46" s="230" t="str">
        <f t="shared" si="16"/>
        <v>user_image</v>
      </c>
      <c r="U46" s="222" t="str">
        <f t="shared" si="17"/>
        <v>picture</v>
      </c>
      <c r="V46" s="230" t="str">
        <f t="shared" si="18"/>
        <v>user_image</v>
      </c>
      <c r="W46" s="222" t="str">
        <f t="shared" si="19"/>
        <v>picture</v>
      </c>
      <c r="X46" s="230" t="str">
        <f t="shared" si="20"/>
        <v>user_image</v>
      </c>
      <c r="Y46" s="222" t="str">
        <f t="shared" si="21"/>
        <v>picture</v>
      </c>
      <c r="Z46" s="230" t="str">
        <f t="shared" si="10"/>
        <v>user_image</v>
      </c>
      <c r="AA46" s="222" t="str">
        <f t="shared" si="11"/>
        <v>picture</v>
      </c>
    </row>
    <row r="47" spans="5:27" ht="20.100000000000001" customHeight="1" x14ac:dyDescent="0.55000000000000004">
      <c r="E47" s="217" t="str" cm="1">
        <f t="array" ref="E47">IFERROR(_xlfn.IFS($E$1="GENINTEGRATION 22 Parameters",(_xlfn.IFS($F$1=$Q$1,INDEX($P$2:$P$100,MATCH(0,INDEX(COUNTIF($E$1:$E46,$P$2:$P$100)+(COUNTIF($P$2:$P$100,$P$2:$P$100)&lt;&gt;1),0,0),0)),$F$1=$S$1,INDEX($R$2:$R$100,MATCH(0,INDEX(COUNTIF($E$1:$E46,$R$2:$R$100)+(COUNTIF($R$2:$R$100,$R$2:$R$100)&lt;&gt;1),0,0),0)),$F$1=$U$1,INDEX($T$2:$T$100,MATCH(0,INDEX(COUNTIF($E$1:$E46,$T$2:$T$100)+(COUNTIF($T$2:$T$100,$T$2:$T$100)&lt;&gt;1),0,0),0)),$F$1=$W$1,INDEX($V$2:$V$100,MATCH(0,INDEX(COUNTIF($E$1:$E46,$V$2:$V$100)+(COUNTIF($V$2:$V$100,$V$2:$V$100)&lt;&gt;1),0,0),0)),$F$1=$Y$1,INDEX($X$2:$X$100,MATCH(0,INDEX(COUNTIF($E$1:$E46,$X$2:$X$100)+(COUNTIF($X$2:$X$100,$X$2:$X$100)&lt;&gt;1),0,0),0)),$F$1=$AA$1,INDEX($Z$2:$Z$100,MATCH(0,INDEX(COUNTIF($E$1:$E46,$Z$2:$Z$100)+(COUNTIF($Z$2:$Z$100,$Z$2:$Z$100)&lt;&gt;1),0,0),0)),TRUE,"")),$E$1="GENINTEGRATION 22 Attributes",INDEX($H$2:$H$100,MATCH(0,INDEX(COUNTIF($E$1:$E46,$H$2:$H$100)+(COUNTIF($H$2:$H$100,$H$2:$H$100)&lt;&gt;1),0,0),0)),TRUE,""),"")</f>
        <v/>
      </c>
      <c r="F47" s="213" t="str" cm="1">
        <f t="array" ref="F47">IFERROR(_xlfn.IFS($F$1=$Q$1,_xlfn.XLOOKUP($E47,$P$2:$P$100,Q$2:Q$100)&amp;"",$F$1=$S$1,_xlfn.XLOOKUP($E47,$R$2:$R$100,$S$2:$S$100)&amp;"",$F$1=$Y$1,_xlfn.XLOOKUP($E47,$X$2:$X$100,$Y$2:$Y$100)&amp;"",$F$1=$U$1,_xlfn.XLOOKUP($E47,$T$2:$T$100,$U$2:$U$100)&amp;"",$F$1=$W$1,_xlfn.XLOOKUP($E47,$V$2:$V$100,$W$2:$W$100)&amp;"",$F$1=$AA$1,_xlfn.XLOOKUP($E47,$Z$2:$Z$100,$AA$2:$AA$100)&amp;"",TRUE, ""),"")</f>
        <v/>
      </c>
      <c r="G47" s="215" t="str" cm="1">
        <f t="array" ref="G47">IFERROR(IF($F47&lt;&gt;"",_xlfn.IFS($F$1="LM7 31 ClPRODUCT4 ms","LM7",$F$1="LMS1 31 ClPRODUCT4 ms","CV",$F$1="LMS2 31 ClPRODUCT4 ms","CL",$F$1="LMS5 31 ClPRODUCT4 ms","JZ",$F$1="LMS8 31 ClPRODUCT4 ms","DL",$F$1="LMS6 31 ClPRODUCT4 ms","MD",TRUE, ""),IF(AND($E$1="GENINTEGRATION 22 Attributes",$E47&lt;&gt;""),"22","")),"")</f>
        <v/>
      </c>
      <c r="H47" s="21"/>
      <c r="I47" s="21"/>
      <c r="J47" s="229"/>
      <c r="K47" s="229"/>
      <c r="L47" s="229"/>
      <c r="M47" s="229"/>
      <c r="N47" s="229"/>
      <c r="O47" s="229"/>
      <c r="P47" s="230" t="str">
        <f t="shared" si="22"/>
        <v/>
      </c>
      <c r="Q47" s="222" t="str">
        <f t="shared" si="13"/>
        <v/>
      </c>
      <c r="R47" s="230" t="str">
        <f t="shared" si="14"/>
        <v/>
      </c>
      <c r="S47" s="222" t="str">
        <f t="shared" si="15"/>
        <v/>
      </c>
      <c r="T47" s="230" t="str">
        <f t="shared" si="16"/>
        <v/>
      </c>
      <c r="U47" s="222" t="str">
        <f t="shared" si="17"/>
        <v/>
      </c>
      <c r="V47" s="230" t="str">
        <f t="shared" si="18"/>
        <v/>
      </c>
      <c r="W47" s="222" t="str">
        <f t="shared" si="19"/>
        <v/>
      </c>
      <c r="X47" s="230" t="str">
        <f t="shared" si="20"/>
        <v/>
      </c>
      <c r="Y47" s="222" t="str">
        <f t="shared" si="21"/>
        <v/>
      </c>
      <c r="Z47" s="230" t="str">
        <f t="shared" si="10"/>
        <v/>
      </c>
      <c r="AA47" s="222" t="str">
        <f t="shared" si="11"/>
        <v/>
      </c>
    </row>
    <row r="48" spans="5:27" ht="20.100000000000001" customHeight="1" x14ac:dyDescent="0.55000000000000004">
      <c r="E48" s="217" t="str" cm="1">
        <f t="array" ref="E48">IFERROR(_xlfn.IFS($E$1="GENINTEGRATION 22 Parameters",(_xlfn.IFS($F$1=$Q$1,INDEX($P$2:$P$100,MATCH(0,INDEX(COUNTIF($E$1:$E47,$P$2:$P$100)+(COUNTIF($P$2:$P$100,$P$2:$P$100)&lt;&gt;1),0,0),0)),$F$1=$S$1,INDEX($R$2:$R$100,MATCH(0,INDEX(COUNTIF($E$1:$E47,$R$2:$R$100)+(COUNTIF($R$2:$R$100,$R$2:$R$100)&lt;&gt;1),0,0),0)),$F$1=$U$1,INDEX($T$2:$T$100,MATCH(0,INDEX(COUNTIF($E$1:$E47,$T$2:$T$100)+(COUNTIF($T$2:$T$100,$T$2:$T$100)&lt;&gt;1),0,0),0)),$F$1=$W$1,INDEX($V$2:$V$100,MATCH(0,INDEX(COUNTIF($E$1:$E47,$V$2:$V$100)+(COUNTIF($V$2:$V$100,$V$2:$V$100)&lt;&gt;1),0,0),0)),$F$1=$Y$1,INDEX($X$2:$X$100,MATCH(0,INDEX(COUNTIF($E$1:$E47,$X$2:$X$100)+(COUNTIF($X$2:$X$100,$X$2:$X$100)&lt;&gt;1),0,0),0)),$F$1=$AA$1,INDEX($Z$2:$Z$100,MATCH(0,INDEX(COUNTIF($E$1:$E47,$Z$2:$Z$100)+(COUNTIF($Z$2:$Z$100,$Z$2:$Z$100)&lt;&gt;1),0,0),0)),TRUE,"")),$E$1="GENINTEGRATION 22 Attributes",INDEX($H$2:$H$100,MATCH(0,INDEX(COUNTIF($E$1:$E47,$H$2:$H$100)+(COUNTIF($H$2:$H$100,$H$2:$H$100)&lt;&gt;1),0,0),0)),TRUE,""),"")</f>
        <v/>
      </c>
      <c r="F48" s="213" t="str" cm="1">
        <f t="array" ref="F48">IFERROR(_xlfn.IFS($F$1=$Q$1,_xlfn.XLOOKUP($E48,$P$2:$P$100,Q$2:Q$100)&amp;"",$F$1=$S$1,_xlfn.XLOOKUP($E48,$R$2:$R$100,$S$2:$S$100)&amp;"",$F$1=$Y$1,_xlfn.XLOOKUP($E48,$X$2:$X$100,$Y$2:$Y$100)&amp;"",$F$1=$U$1,_xlfn.XLOOKUP($E48,$T$2:$T$100,$U$2:$U$100)&amp;"",$F$1=$W$1,_xlfn.XLOOKUP($E48,$V$2:$V$100,$W$2:$W$100)&amp;"",$F$1=$AA$1,_xlfn.XLOOKUP($E48,$Z$2:$Z$100,$AA$2:$AA$100)&amp;"",TRUE, ""),"")</f>
        <v/>
      </c>
      <c r="G48" s="215" t="str" cm="1">
        <f t="array" ref="G48">IFERROR(IF($F48&lt;&gt;"",_xlfn.IFS($F$1="LM7 31 ClPRODUCT4 ms","LM7",$F$1="LMS1 31 ClPRODUCT4 ms","CV",$F$1="LMS2 31 ClPRODUCT4 ms","CL",$F$1="LMS5 31 ClPRODUCT4 ms","JZ",$F$1="LMS8 31 ClPRODUCT4 ms","DL",$F$1="LMS6 31 ClPRODUCT4 ms","MD",TRUE, ""),IF(AND($E$1="GENINTEGRATION 22 Attributes",$E48&lt;&gt;""),"22","")),"")</f>
        <v/>
      </c>
      <c r="H48" s="21"/>
      <c r="I48" s="21"/>
      <c r="J48" s="229"/>
      <c r="K48" s="229"/>
      <c r="L48" s="229"/>
      <c r="M48" s="229"/>
      <c r="N48" s="229"/>
      <c r="O48" s="229"/>
      <c r="P48" s="230" t="str">
        <f t="shared" si="22"/>
        <v/>
      </c>
      <c r="Q48" s="222" t="str">
        <f t="shared" si="13"/>
        <v/>
      </c>
      <c r="R48" s="230" t="str">
        <f t="shared" si="14"/>
        <v/>
      </c>
      <c r="S48" s="222" t="str">
        <f t="shared" si="15"/>
        <v/>
      </c>
      <c r="T48" s="230" t="str">
        <f t="shared" si="16"/>
        <v/>
      </c>
      <c r="U48" s="222" t="str">
        <f t="shared" si="17"/>
        <v/>
      </c>
      <c r="V48" s="230" t="str">
        <f t="shared" si="18"/>
        <v/>
      </c>
      <c r="W48" s="222" t="str">
        <f t="shared" si="19"/>
        <v/>
      </c>
      <c r="X48" s="230" t="str">
        <f t="shared" si="20"/>
        <v/>
      </c>
      <c r="Y48" s="222" t="str">
        <f t="shared" si="21"/>
        <v/>
      </c>
      <c r="Z48" s="230" t="str">
        <f t="shared" si="10"/>
        <v/>
      </c>
      <c r="AA48" s="222" t="str">
        <f t="shared" si="11"/>
        <v/>
      </c>
    </row>
    <row r="49" spans="5:27" ht="20.100000000000001" customHeight="1" x14ac:dyDescent="0.55000000000000004">
      <c r="E49" s="217" t="str" cm="1">
        <f t="array" ref="E49">IFERROR(_xlfn.IFS($E$1="GENINTEGRATION 22 Parameters",(_xlfn.IFS($F$1=$Q$1,INDEX($P$2:$P$100,MATCH(0,INDEX(COUNTIF($E$1:$E48,$P$2:$P$100)+(COUNTIF($P$2:$P$100,$P$2:$P$100)&lt;&gt;1),0,0),0)),$F$1=$S$1,INDEX($R$2:$R$100,MATCH(0,INDEX(COUNTIF($E$1:$E48,$R$2:$R$100)+(COUNTIF($R$2:$R$100,$R$2:$R$100)&lt;&gt;1),0,0),0)),$F$1=$U$1,INDEX($T$2:$T$100,MATCH(0,INDEX(COUNTIF($E$1:$E48,$T$2:$T$100)+(COUNTIF($T$2:$T$100,$T$2:$T$100)&lt;&gt;1),0,0),0)),$F$1=$W$1,INDEX($V$2:$V$100,MATCH(0,INDEX(COUNTIF($E$1:$E48,$V$2:$V$100)+(COUNTIF($V$2:$V$100,$V$2:$V$100)&lt;&gt;1),0,0),0)),$F$1=$Y$1,INDEX($X$2:$X$100,MATCH(0,INDEX(COUNTIF($E$1:$E48,$X$2:$X$100)+(COUNTIF($X$2:$X$100,$X$2:$X$100)&lt;&gt;1),0,0),0)),$F$1=$AA$1,INDEX($Z$2:$Z$100,MATCH(0,INDEX(COUNTIF($E$1:$E48,$Z$2:$Z$100)+(COUNTIF($Z$2:$Z$100,$Z$2:$Z$100)&lt;&gt;1),0,0),0)),TRUE,"")),$E$1="GENINTEGRATION 22 Attributes",INDEX($H$2:$H$100,MATCH(0,INDEX(COUNTIF($E$1:$E48,$H$2:$H$100)+(COUNTIF($H$2:$H$100,$H$2:$H$100)&lt;&gt;1),0,0),0)),TRUE,""),"")</f>
        <v/>
      </c>
      <c r="F49" s="213" t="str" cm="1">
        <f t="array" ref="F49">IFERROR(_xlfn.IFS($F$1=$Q$1,_xlfn.XLOOKUP($E49,$P$2:$P$100,Q$2:Q$100)&amp;"",$F$1=$S$1,_xlfn.XLOOKUP($E49,$R$2:$R$100,$S$2:$S$100)&amp;"",$F$1=$Y$1,_xlfn.XLOOKUP($E49,$X$2:$X$100,$Y$2:$Y$100)&amp;"",$F$1=$U$1,_xlfn.XLOOKUP($E49,$T$2:$T$100,$U$2:$U$100)&amp;"",$F$1=$W$1,_xlfn.XLOOKUP($E49,$V$2:$V$100,$W$2:$W$100)&amp;"",$F$1=$AA$1,_xlfn.XLOOKUP($E49,$Z$2:$Z$100,$AA$2:$AA$100)&amp;"",TRUE, ""),"")</f>
        <v/>
      </c>
      <c r="G49" s="215" t="str" cm="1">
        <f t="array" ref="G49">IFERROR(IF($F49&lt;&gt;"",_xlfn.IFS($F$1="LM7 31 ClPRODUCT4 ms","LM7",$F$1="LMS1 31 ClPRODUCT4 ms","CV",$F$1="LMS2 31 ClPRODUCT4 ms","CL",$F$1="LMS5 31 ClPRODUCT4 ms","JZ",$F$1="LMS8 31 ClPRODUCT4 ms","DL",$F$1="LMS6 31 ClPRODUCT4 ms","MD",TRUE, ""),IF(AND($E$1="GENINTEGRATION 22 Attributes",$E49&lt;&gt;""),"22","")),"")</f>
        <v/>
      </c>
      <c r="H49" s="21"/>
      <c r="I49" s="21"/>
      <c r="J49" s="229"/>
      <c r="K49" s="229"/>
      <c r="L49" s="229"/>
      <c r="M49" s="229"/>
      <c r="N49" s="229"/>
      <c r="O49" s="229"/>
      <c r="P49" s="230" t="str">
        <f t="shared" si="22"/>
        <v/>
      </c>
      <c r="Q49" s="222" t="str">
        <f t="shared" si="13"/>
        <v/>
      </c>
      <c r="R49" s="230" t="str">
        <f t="shared" si="14"/>
        <v/>
      </c>
      <c r="S49" s="222" t="str">
        <f t="shared" si="15"/>
        <v/>
      </c>
      <c r="T49" s="230" t="str">
        <f t="shared" si="16"/>
        <v/>
      </c>
      <c r="U49" s="222" t="str">
        <f t="shared" si="17"/>
        <v/>
      </c>
      <c r="V49" s="230" t="str">
        <f t="shared" si="18"/>
        <v/>
      </c>
      <c r="W49" s="222" t="str">
        <f t="shared" si="19"/>
        <v/>
      </c>
      <c r="X49" s="230" t="str">
        <f t="shared" si="20"/>
        <v/>
      </c>
      <c r="Y49" s="222" t="str">
        <f t="shared" si="21"/>
        <v/>
      </c>
      <c r="Z49" s="230" t="str">
        <f t="shared" si="10"/>
        <v/>
      </c>
      <c r="AA49" s="222" t="str">
        <f t="shared" si="11"/>
        <v/>
      </c>
    </row>
    <row r="50" spans="5:27" ht="20.100000000000001" customHeight="1" x14ac:dyDescent="0.55000000000000004">
      <c r="E50" s="217" t="str" cm="1">
        <f t="array" ref="E50">IFERROR(_xlfn.IFS($E$1="GENINTEGRATION 22 Parameters",(_xlfn.IFS($F$1=$Q$1,INDEX($P$2:$P$100,MATCH(0,INDEX(COUNTIF($E$1:$E49,$P$2:$P$100)+(COUNTIF($P$2:$P$100,$P$2:$P$100)&lt;&gt;1),0,0),0)),$F$1=$S$1,INDEX($R$2:$R$100,MATCH(0,INDEX(COUNTIF($E$1:$E49,$R$2:$R$100)+(COUNTIF($R$2:$R$100,$R$2:$R$100)&lt;&gt;1),0,0),0)),$F$1=$U$1,INDEX($T$2:$T$100,MATCH(0,INDEX(COUNTIF($E$1:$E49,$T$2:$T$100)+(COUNTIF($T$2:$T$100,$T$2:$T$100)&lt;&gt;1),0,0),0)),$F$1=$W$1,INDEX($V$2:$V$100,MATCH(0,INDEX(COUNTIF($E$1:$E49,$V$2:$V$100)+(COUNTIF($V$2:$V$100,$V$2:$V$100)&lt;&gt;1),0,0),0)),$F$1=$Y$1,INDEX($X$2:$X$100,MATCH(0,INDEX(COUNTIF($E$1:$E49,$X$2:$X$100)+(COUNTIF($X$2:$X$100,$X$2:$X$100)&lt;&gt;1),0,0),0)),$F$1=$AA$1,INDEX($Z$2:$Z$100,MATCH(0,INDEX(COUNTIF($E$1:$E49,$Z$2:$Z$100)+(COUNTIF($Z$2:$Z$100,$Z$2:$Z$100)&lt;&gt;1),0,0),0)),TRUE,"")),$E$1="GENINTEGRATION 22 Attributes",INDEX($H$2:$H$100,MATCH(0,INDEX(COUNTIF($E$1:$E49,$H$2:$H$100)+(COUNTIF($H$2:$H$100,$H$2:$H$100)&lt;&gt;1),0,0),0)),TRUE,""),"")</f>
        <v/>
      </c>
      <c r="F50" s="213" t="str" cm="1">
        <f t="array" ref="F50">IFERROR(_xlfn.IFS($F$1=$Q$1,_xlfn.XLOOKUP($E50,$P$2:$P$100,Q$2:Q$100)&amp;"",$F$1=$S$1,_xlfn.XLOOKUP($E50,$R$2:$R$100,$S$2:$S$100)&amp;"",$F$1=$Y$1,_xlfn.XLOOKUP($E50,$X$2:$X$100,$Y$2:$Y$100)&amp;"",$F$1=$U$1,_xlfn.XLOOKUP($E50,$T$2:$T$100,$U$2:$U$100)&amp;"",$F$1=$W$1,_xlfn.XLOOKUP($E50,$V$2:$V$100,$W$2:$W$100)&amp;"",$F$1=$AA$1,_xlfn.XLOOKUP($E50,$Z$2:$Z$100,$AA$2:$AA$100)&amp;"",TRUE, ""),"")</f>
        <v/>
      </c>
      <c r="G50" s="215" t="str" cm="1">
        <f t="array" ref="G50">IFERROR(IF($F50&lt;&gt;"",_xlfn.IFS($F$1="LM7 31 ClPRODUCT4 ms","LM7",$F$1="LMS1 31 ClPRODUCT4 ms","CV",$F$1="LMS2 31 ClPRODUCT4 ms","CL",$F$1="LMS5 31 ClPRODUCT4 ms","JZ",$F$1="LMS8 31 ClPRODUCT4 ms","DL",$F$1="LMS6 31 ClPRODUCT4 ms","MD",TRUE, ""),IF(AND($E$1="GENINTEGRATION 22 Attributes",$E50&lt;&gt;""),"22","")),"")</f>
        <v/>
      </c>
      <c r="H50" s="21"/>
      <c r="I50" s="21"/>
      <c r="J50" s="229"/>
      <c r="K50" s="229"/>
      <c r="L50" s="229"/>
      <c r="M50" s="229"/>
      <c r="N50" s="229"/>
      <c r="O50" s="229"/>
      <c r="P50" s="230" t="str">
        <f t="shared" si="22"/>
        <v/>
      </c>
      <c r="Q50" s="222" t="str">
        <f t="shared" si="13"/>
        <v/>
      </c>
      <c r="R50" s="230" t="str">
        <f t="shared" si="14"/>
        <v/>
      </c>
      <c r="S50" s="222" t="str">
        <f t="shared" si="15"/>
        <v/>
      </c>
      <c r="T50" s="230" t="str">
        <f t="shared" si="16"/>
        <v/>
      </c>
      <c r="U50" s="222" t="str">
        <f t="shared" si="17"/>
        <v/>
      </c>
      <c r="V50" s="230" t="str">
        <f t="shared" si="18"/>
        <v/>
      </c>
      <c r="W50" s="222" t="str">
        <f t="shared" si="19"/>
        <v/>
      </c>
      <c r="X50" s="230" t="str">
        <f t="shared" si="20"/>
        <v/>
      </c>
      <c r="Y50" s="222" t="str">
        <f t="shared" si="21"/>
        <v/>
      </c>
      <c r="Z50" s="230" t="str">
        <f t="shared" si="10"/>
        <v/>
      </c>
      <c r="AA50" s="222" t="str">
        <f t="shared" si="11"/>
        <v/>
      </c>
    </row>
    <row r="51" spans="5:27" ht="20.100000000000001" customHeight="1" x14ac:dyDescent="0.55000000000000004">
      <c r="E51" s="217" t="str" cm="1">
        <f t="array" ref="E51">IFERROR(_xlfn.IFS($E$1="GENINTEGRATION 22 Parameters",(_xlfn.IFS($F$1=$Q$1,INDEX($P$2:$P$100,MATCH(0,INDEX(COUNTIF($E$1:$E50,$P$2:$P$100)+(COUNTIF($P$2:$P$100,$P$2:$P$100)&lt;&gt;1),0,0),0)),$F$1=$S$1,INDEX($R$2:$R$100,MATCH(0,INDEX(COUNTIF($E$1:$E50,$R$2:$R$100)+(COUNTIF($R$2:$R$100,$R$2:$R$100)&lt;&gt;1),0,0),0)),$F$1=$U$1,INDEX($T$2:$T$100,MATCH(0,INDEX(COUNTIF($E$1:$E50,$T$2:$T$100)+(COUNTIF($T$2:$T$100,$T$2:$T$100)&lt;&gt;1),0,0),0)),$F$1=$W$1,INDEX($V$2:$V$100,MATCH(0,INDEX(COUNTIF($E$1:$E50,$V$2:$V$100)+(COUNTIF($V$2:$V$100,$V$2:$V$100)&lt;&gt;1),0,0),0)),$F$1=$Y$1,INDEX($X$2:$X$100,MATCH(0,INDEX(COUNTIF($E$1:$E50,$X$2:$X$100)+(COUNTIF($X$2:$X$100,$X$2:$X$100)&lt;&gt;1),0,0),0)),$F$1=$AA$1,INDEX($Z$2:$Z$100,MATCH(0,INDEX(COUNTIF($E$1:$E50,$Z$2:$Z$100)+(COUNTIF($Z$2:$Z$100,$Z$2:$Z$100)&lt;&gt;1),0,0),0)),TRUE,"")),$E$1="GENINTEGRATION 22 Attributes",INDEX($H$2:$H$100,MATCH(0,INDEX(COUNTIF($E$1:$E50,$H$2:$H$100)+(COUNTIF($H$2:$H$100,$H$2:$H$100)&lt;&gt;1),0,0),0)),TRUE,""),"")</f>
        <v/>
      </c>
      <c r="F51" s="213" t="str" cm="1">
        <f t="array" ref="F51">IFERROR(_xlfn.IFS($F$1=$Q$1,_xlfn.XLOOKUP($E51,$P$2:$P$100,Q$2:Q$100)&amp;"",$F$1=$S$1,_xlfn.XLOOKUP($E51,$R$2:$R$100,$S$2:$S$100)&amp;"",$F$1=$Y$1,_xlfn.XLOOKUP($E51,$X$2:$X$100,$Y$2:$Y$100)&amp;"",$F$1=$U$1,_xlfn.XLOOKUP($E51,$T$2:$T$100,$U$2:$U$100)&amp;"",$F$1=$W$1,_xlfn.XLOOKUP($E51,$V$2:$V$100,$W$2:$W$100)&amp;"",$F$1=$AA$1,_xlfn.XLOOKUP($E51,$Z$2:$Z$100,$AA$2:$AA$100)&amp;"",TRUE, ""),"")</f>
        <v/>
      </c>
      <c r="G51" s="215" t="str" cm="1">
        <f t="array" ref="G51">IFERROR(IF($F51&lt;&gt;"",_xlfn.IFS($F$1="LM7 31 ClPRODUCT4 ms","LM7",$F$1="LMS1 31 ClPRODUCT4 ms","CV",$F$1="LMS2 31 ClPRODUCT4 ms","CL",$F$1="LMS5 31 ClPRODUCT4 ms","JZ",$F$1="LMS8 31 ClPRODUCT4 ms","DL",$F$1="LMS6 31 ClPRODUCT4 ms","MD",TRUE, ""),IF(AND($E$1="GENINTEGRATION 22 Attributes",$E51&lt;&gt;""),"22","")),"")</f>
        <v/>
      </c>
      <c r="H51" s="21"/>
      <c r="I51" s="21"/>
      <c r="J51" s="229"/>
      <c r="K51" s="229"/>
      <c r="L51" s="229"/>
      <c r="M51" s="229"/>
      <c r="N51" s="229"/>
      <c r="O51" s="229"/>
      <c r="P51" s="230" t="str">
        <f t="shared" si="22"/>
        <v/>
      </c>
      <c r="Q51" s="222" t="str">
        <f t="shared" si="13"/>
        <v/>
      </c>
      <c r="R51" s="230" t="str">
        <f t="shared" si="14"/>
        <v/>
      </c>
      <c r="S51" s="222" t="str">
        <f t="shared" si="15"/>
        <v/>
      </c>
      <c r="T51" s="230" t="str">
        <f t="shared" si="16"/>
        <v/>
      </c>
      <c r="U51" s="222" t="str">
        <f t="shared" si="17"/>
        <v/>
      </c>
      <c r="V51" s="230" t="str">
        <f t="shared" si="18"/>
        <v/>
      </c>
      <c r="W51" s="222" t="str">
        <f t="shared" si="19"/>
        <v/>
      </c>
      <c r="X51" s="230" t="str">
        <f t="shared" si="20"/>
        <v/>
      </c>
      <c r="Y51" s="222" t="str">
        <f t="shared" si="21"/>
        <v/>
      </c>
      <c r="Z51" s="230" t="str">
        <f t="shared" si="10"/>
        <v/>
      </c>
      <c r="AA51" s="222" t="str">
        <f t="shared" si="11"/>
        <v/>
      </c>
    </row>
    <row r="52" spans="5:27" ht="20.100000000000001" customHeight="1" x14ac:dyDescent="0.55000000000000004">
      <c r="E52" s="217" t="str" cm="1">
        <f t="array" ref="E52">IFERROR(_xlfn.IFS($E$1="GENINTEGRATION 22 Parameters",(_xlfn.IFS($F$1=$Q$1,INDEX($P$2:$P$100,MATCH(0,INDEX(COUNTIF($E$1:$E51,$P$2:$P$100)+(COUNTIF($P$2:$P$100,$P$2:$P$100)&lt;&gt;1),0,0),0)),$F$1=$S$1,INDEX($R$2:$R$100,MATCH(0,INDEX(COUNTIF($E$1:$E51,$R$2:$R$100)+(COUNTIF($R$2:$R$100,$R$2:$R$100)&lt;&gt;1),0,0),0)),$F$1=$U$1,INDEX($T$2:$T$100,MATCH(0,INDEX(COUNTIF($E$1:$E51,$T$2:$T$100)+(COUNTIF($T$2:$T$100,$T$2:$T$100)&lt;&gt;1),0,0),0)),$F$1=$W$1,INDEX($V$2:$V$100,MATCH(0,INDEX(COUNTIF($E$1:$E51,$V$2:$V$100)+(COUNTIF($V$2:$V$100,$V$2:$V$100)&lt;&gt;1),0,0),0)),$F$1=$Y$1,INDEX($X$2:$X$100,MATCH(0,INDEX(COUNTIF($E$1:$E51,$X$2:$X$100)+(COUNTIF($X$2:$X$100,$X$2:$X$100)&lt;&gt;1),0,0),0)),$F$1=$AA$1,INDEX($Z$2:$Z$100,MATCH(0,INDEX(COUNTIF($E$1:$E51,$Z$2:$Z$100)+(COUNTIF($Z$2:$Z$100,$Z$2:$Z$100)&lt;&gt;1),0,0),0)),TRUE,"")),$E$1="GENINTEGRATION 22 Attributes",INDEX($H$2:$H$100,MATCH(0,INDEX(COUNTIF($E$1:$E51,$H$2:$H$100)+(COUNTIF($H$2:$H$100,$H$2:$H$100)&lt;&gt;1),0,0),0)),TRUE,""),"")</f>
        <v/>
      </c>
      <c r="F52" s="213" t="str" cm="1">
        <f t="array" ref="F52">IFERROR(_xlfn.IFS($F$1=$Q$1,_xlfn.XLOOKUP($E52,$P$2:$P$100,Q$2:Q$100)&amp;"",$F$1=$S$1,_xlfn.XLOOKUP($E52,$R$2:$R$100,$S$2:$S$100)&amp;"",$F$1=$Y$1,_xlfn.XLOOKUP($E52,$X$2:$X$100,$Y$2:$Y$100)&amp;"",$F$1=$U$1,_xlfn.XLOOKUP($E52,$T$2:$T$100,$U$2:$U$100)&amp;"",$F$1=$W$1,_xlfn.XLOOKUP($E52,$V$2:$V$100,$W$2:$W$100)&amp;"",$F$1=$AA$1,_xlfn.XLOOKUP($E52,$Z$2:$Z$100,$AA$2:$AA$100)&amp;"",TRUE, ""),"")</f>
        <v/>
      </c>
      <c r="G52" s="215" t="str" cm="1">
        <f t="array" ref="G52">IFERROR(IF($F52&lt;&gt;"",_xlfn.IFS($F$1="LM7 31 ClPRODUCT4 ms","LM7",$F$1="LMS1 31 ClPRODUCT4 ms","CV",$F$1="LMS2 31 ClPRODUCT4 ms","CL",$F$1="LMS5 31 ClPRODUCT4 ms","JZ",$F$1="LMS8 31 ClPRODUCT4 ms","DL",$F$1="LMS6 31 ClPRODUCT4 ms","MD",TRUE, ""),IF(AND($E$1="GENINTEGRATION 22 Attributes",$E52&lt;&gt;""),"22","")),"")</f>
        <v/>
      </c>
      <c r="H52" s="21"/>
      <c r="I52" s="21"/>
      <c r="J52" s="229"/>
      <c r="K52" s="229"/>
      <c r="L52" s="229"/>
      <c r="M52" s="229"/>
      <c r="N52" s="229"/>
      <c r="O52" s="229"/>
      <c r="P52" s="230" t="str">
        <f t="shared" si="22"/>
        <v/>
      </c>
      <c r="Q52" s="222" t="str">
        <f t="shared" si="13"/>
        <v/>
      </c>
      <c r="R52" s="230" t="str">
        <f t="shared" si="14"/>
        <v/>
      </c>
      <c r="S52" s="222" t="str">
        <f t="shared" si="15"/>
        <v/>
      </c>
      <c r="T52" s="230" t="str">
        <f t="shared" si="16"/>
        <v/>
      </c>
      <c r="U52" s="222" t="str">
        <f t="shared" si="17"/>
        <v/>
      </c>
      <c r="V52" s="230" t="str">
        <f t="shared" si="18"/>
        <v/>
      </c>
      <c r="W52" s="222" t="str">
        <f t="shared" si="19"/>
        <v/>
      </c>
      <c r="X52" s="230" t="str">
        <f t="shared" si="20"/>
        <v/>
      </c>
      <c r="Y52" s="222" t="str">
        <f t="shared" si="21"/>
        <v/>
      </c>
      <c r="Z52" s="230" t="str">
        <f t="shared" si="10"/>
        <v/>
      </c>
      <c r="AA52" s="222" t="str">
        <f t="shared" si="11"/>
        <v/>
      </c>
    </row>
    <row r="53" spans="5:27" ht="20.100000000000001" customHeight="1" x14ac:dyDescent="0.55000000000000004">
      <c r="E53" s="217" t="str" cm="1">
        <f t="array" ref="E53">IFERROR(_xlfn.IFS($E$1="GENINTEGRATION 22 Parameters",(_xlfn.IFS($F$1=$Q$1,INDEX($P$2:$P$100,MATCH(0,INDEX(COUNTIF($E$1:$E52,$P$2:$P$100)+(COUNTIF($P$2:$P$100,$P$2:$P$100)&lt;&gt;1),0,0),0)),$F$1=$S$1,INDEX($R$2:$R$100,MATCH(0,INDEX(COUNTIF($E$1:$E52,$R$2:$R$100)+(COUNTIF($R$2:$R$100,$R$2:$R$100)&lt;&gt;1),0,0),0)),$F$1=$U$1,INDEX($T$2:$T$100,MATCH(0,INDEX(COUNTIF($E$1:$E52,$T$2:$T$100)+(COUNTIF($T$2:$T$100,$T$2:$T$100)&lt;&gt;1),0,0),0)),$F$1=$W$1,INDEX($V$2:$V$100,MATCH(0,INDEX(COUNTIF($E$1:$E52,$V$2:$V$100)+(COUNTIF($V$2:$V$100,$V$2:$V$100)&lt;&gt;1),0,0),0)),$F$1=$Y$1,INDEX($X$2:$X$100,MATCH(0,INDEX(COUNTIF($E$1:$E52,$X$2:$X$100)+(COUNTIF($X$2:$X$100,$X$2:$X$100)&lt;&gt;1),0,0),0)),$F$1=$AA$1,INDEX($Z$2:$Z$100,MATCH(0,INDEX(COUNTIF($E$1:$E52,$Z$2:$Z$100)+(COUNTIF($Z$2:$Z$100,$Z$2:$Z$100)&lt;&gt;1),0,0),0)),TRUE,"")),$E$1="GENINTEGRATION 22 Attributes",INDEX($H$2:$H$100,MATCH(0,INDEX(COUNTIF($E$1:$E52,$H$2:$H$100)+(COUNTIF($H$2:$H$100,$H$2:$H$100)&lt;&gt;1),0,0),0)),TRUE,""),"")</f>
        <v/>
      </c>
      <c r="F53" s="213" t="str" cm="1">
        <f t="array" ref="F53">IFERROR(_xlfn.IFS($F$1=$Q$1,_xlfn.XLOOKUP($E53,$P$2:$P$100,Q$2:Q$100)&amp;"",$F$1=$S$1,_xlfn.XLOOKUP($E53,$R$2:$R$100,$S$2:$S$100)&amp;"",$F$1=$Y$1,_xlfn.XLOOKUP($E53,$X$2:$X$100,$Y$2:$Y$100)&amp;"",$F$1=$U$1,_xlfn.XLOOKUP($E53,$T$2:$T$100,$U$2:$U$100)&amp;"",$F$1=$W$1,_xlfn.XLOOKUP($E53,$V$2:$V$100,$W$2:$W$100)&amp;"",$F$1=$AA$1,_xlfn.XLOOKUP($E53,$Z$2:$Z$100,$AA$2:$AA$100)&amp;"",TRUE, ""),"")</f>
        <v/>
      </c>
      <c r="G53" s="215" t="str" cm="1">
        <f t="array" ref="G53">IFERROR(IF($F53&lt;&gt;"",_xlfn.IFS($F$1="LM7 31 ClPRODUCT4 ms","LM7",$F$1="LMS1 31 ClPRODUCT4 ms","CV",$F$1="LMS2 31 ClPRODUCT4 ms","CL",$F$1="LMS5 31 ClPRODUCT4 ms","JZ",$F$1="LMS8 31 ClPRODUCT4 ms","DL",$F$1="LMS6 31 ClPRODUCT4 ms","MD",TRUE, ""),IF(AND($E$1="GENINTEGRATION 22 Attributes",$E53&lt;&gt;""),"22","")),"")</f>
        <v/>
      </c>
      <c r="H53" s="21"/>
      <c r="I53" s="21"/>
      <c r="J53" s="229"/>
      <c r="K53" s="229"/>
      <c r="L53" s="229"/>
      <c r="M53" s="229"/>
      <c r="N53" s="229"/>
      <c r="O53" s="229"/>
      <c r="P53" s="230" t="str">
        <f t="shared" si="22"/>
        <v/>
      </c>
      <c r="Q53" s="222" t="str">
        <f t="shared" si="13"/>
        <v/>
      </c>
      <c r="R53" s="230" t="str">
        <f t="shared" si="14"/>
        <v/>
      </c>
      <c r="S53" s="222" t="str">
        <f t="shared" si="15"/>
        <v/>
      </c>
      <c r="T53" s="230" t="str">
        <f t="shared" si="16"/>
        <v/>
      </c>
      <c r="U53" s="222" t="str">
        <f t="shared" si="17"/>
        <v/>
      </c>
      <c r="V53" s="230" t="str">
        <f t="shared" si="18"/>
        <v/>
      </c>
      <c r="W53" s="222" t="str">
        <f t="shared" si="19"/>
        <v/>
      </c>
      <c r="X53" s="230" t="str">
        <f t="shared" si="20"/>
        <v/>
      </c>
      <c r="Y53" s="222" t="str">
        <f t="shared" si="21"/>
        <v/>
      </c>
      <c r="Z53" s="230" t="str">
        <f t="shared" si="10"/>
        <v/>
      </c>
      <c r="AA53" s="222" t="str">
        <f t="shared" si="11"/>
        <v/>
      </c>
    </row>
    <row r="54" spans="5:27" ht="20.100000000000001" customHeight="1" x14ac:dyDescent="0.55000000000000004">
      <c r="E54" s="217" t="str" cm="1">
        <f t="array" ref="E54">IFERROR(_xlfn.IFS($E$1="GENINTEGRATION 22 Parameters",(_xlfn.IFS($F$1=$Q$1,INDEX($P$2:$P$100,MATCH(0,INDEX(COUNTIF($E$1:$E53,$P$2:$P$100)+(COUNTIF($P$2:$P$100,$P$2:$P$100)&lt;&gt;1),0,0),0)),$F$1=$S$1,INDEX($R$2:$R$100,MATCH(0,INDEX(COUNTIF($E$1:$E53,$R$2:$R$100)+(COUNTIF($R$2:$R$100,$R$2:$R$100)&lt;&gt;1),0,0),0)),$F$1=$U$1,INDEX($T$2:$T$100,MATCH(0,INDEX(COUNTIF($E$1:$E53,$T$2:$T$100)+(COUNTIF($T$2:$T$100,$T$2:$T$100)&lt;&gt;1),0,0),0)),$F$1=$W$1,INDEX($V$2:$V$100,MATCH(0,INDEX(COUNTIF($E$1:$E53,$V$2:$V$100)+(COUNTIF($V$2:$V$100,$V$2:$V$100)&lt;&gt;1),0,0),0)),$F$1=$Y$1,INDEX($X$2:$X$100,MATCH(0,INDEX(COUNTIF($E$1:$E53,$X$2:$X$100)+(COUNTIF($X$2:$X$100,$X$2:$X$100)&lt;&gt;1),0,0),0)),$F$1=$AA$1,INDEX($Z$2:$Z$100,MATCH(0,INDEX(COUNTIF($E$1:$E53,$Z$2:$Z$100)+(COUNTIF($Z$2:$Z$100,$Z$2:$Z$100)&lt;&gt;1),0,0),0)),TRUE,"")),$E$1="GENINTEGRATION 22 Attributes",INDEX($H$2:$H$100,MATCH(0,INDEX(COUNTIF($E$1:$E53,$H$2:$H$100)+(COUNTIF($H$2:$H$100,$H$2:$H$100)&lt;&gt;1),0,0),0)),TRUE,""),"")</f>
        <v/>
      </c>
      <c r="F54" s="213" t="str" cm="1">
        <f t="array" ref="F54">IFERROR(_xlfn.IFS($F$1=$Q$1,_xlfn.XLOOKUP($E54,$P$2:$P$100,Q$2:Q$100)&amp;"",$F$1=$S$1,_xlfn.XLOOKUP($E54,$R$2:$R$100,$S$2:$S$100)&amp;"",$F$1=$Y$1,_xlfn.XLOOKUP($E54,$X$2:$X$100,$Y$2:$Y$100)&amp;"",$F$1=$U$1,_xlfn.XLOOKUP($E54,$T$2:$T$100,$U$2:$U$100)&amp;"",$F$1=$W$1,_xlfn.XLOOKUP($E54,$V$2:$V$100,$W$2:$W$100)&amp;"",$F$1=$AA$1,_xlfn.XLOOKUP($E54,$Z$2:$Z$100,$AA$2:$AA$100)&amp;"",TRUE, ""),"")</f>
        <v/>
      </c>
      <c r="G54" s="215" t="str" cm="1">
        <f t="array" ref="G54">IFERROR(IF($F54&lt;&gt;"",_xlfn.IFS($F$1="LM7 31 ClPRODUCT4 ms","LM7",$F$1="LMS1 31 ClPRODUCT4 ms","CV",$F$1="LMS2 31 ClPRODUCT4 ms","CL",$F$1="LMS5 31 ClPRODUCT4 ms","JZ",$F$1="LMS8 31 ClPRODUCT4 ms","DL",$F$1="LMS6 31 ClPRODUCT4 ms","MD",TRUE, ""),IF(AND($E$1="GENINTEGRATION 22 Attributes",$E54&lt;&gt;""),"22","")),"")</f>
        <v/>
      </c>
      <c r="H54" s="21"/>
      <c r="I54" s="21"/>
      <c r="J54" s="229"/>
      <c r="K54" s="229"/>
      <c r="L54" s="229"/>
      <c r="M54" s="229"/>
      <c r="N54" s="229"/>
      <c r="O54" s="229"/>
      <c r="P54" s="230" t="str">
        <f t="shared" si="22"/>
        <v/>
      </c>
      <c r="Q54" s="222" t="str">
        <f t="shared" si="13"/>
        <v/>
      </c>
      <c r="R54" s="230" t="str">
        <f t="shared" si="14"/>
        <v/>
      </c>
      <c r="S54" s="222" t="str">
        <f t="shared" si="15"/>
        <v/>
      </c>
      <c r="T54" s="230" t="str">
        <f t="shared" si="16"/>
        <v/>
      </c>
      <c r="U54" s="222" t="str">
        <f t="shared" si="17"/>
        <v/>
      </c>
      <c r="V54" s="230" t="str">
        <f t="shared" si="18"/>
        <v/>
      </c>
      <c r="W54" s="222" t="str">
        <f t="shared" si="19"/>
        <v/>
      </c>
      <c r="X54" s="230" t="str">
        <f t="shared" si="20"/>
        <v/>
      </c>
      <c r="Y54" s="222" t="str">
        <f t="shared" si="21"/>
        <v/>
      </c>
      <c r="Z54" s="230" t="str">
        <f t="shared" si="10"/>
        <v/>
      </c>
      <c r="AA54" s="222" t="str">
        <f t="shared" si="11"/>
        <v/>
      </c>
    </row>
    <row r="55" spans="5:27" ht="20.100000000000001" customHeight="1" x14ac:dyDescent="0.55000000000000004">
      <c r="E55" s="217" t="str" cm="1">
        <f t="array" ref="E55">IFERROR(_xlfn.IFS($E$1="GENINTEGRATION 22 Parameters",(_xlfn.IFS($F$1=$Q$1,INDEX($P$2:$P$100,MATCH(0,INDEX(COUNTIF($E$1:$E54,$P$2:$P$100)+(COUNTIF($P$2:$P$100,$P$2:$P$100)&lt;&gt;1),0,0),0)),$F$1=$S$1,INDEX($R$2:$R$100,MATCH(0,INDEX(COUNTIF($E$1:$E54,$R$2:$R$100)+(COUNTIF($R$2:$R$100,$R$2:$R$100)&lt;&gt;1),0,0),0)),$F$1=$U$1,INDEX($T$2:$T$100,MATCH(0,INDEX(COUNTIF($E$1:$E54,$T$2:$T$100)+(COUNTIF($T$2:$T$100,$T$2:$T$100)&lt;&gt;1),0,0),0)),$F$1=$W$1,INDEX($V$2:$V$100,MATCH(0,INDEX(COUNTIF($E$1:$E54,$V$2:$V$100)+(COUNTIF($V$2:$V$100,$V$2:$V$100)&lt;&gt;1),0,0),0)),$F$1=$Y$1,INDEX($X$2:$X$100,MATCH(0,INDEX(COUNTIF($E$1:$E54,$X$2:$X$100)+(COUNTIF($X$2:$X$100,$X$2:$X$100)&lt;&gt;1),0,0),0)),$F$1=$AA$1,INDEX($Z$2:$Z$100,MATCH(0,INDEX(COUNTIF($E$1:$E54,$Z$2:$Z$100)+(COUNTIF($Z$2:$Z$100,$Z$2:$Z$100)&lt;&gt;1),0,0),0)),TRUE,"")),$E$1="GENINTEGRATION 22 Attributes",INDEX($H$2:$H$100,MATCH(0,INDEX(COUNTIF($E$1:$E54,$H$2:$H$100)+(COUNTIF($H$2:$H$100,$H$2:$H$100)&lt;&gt;1),0,0),0)),TRUE,""),"")</f>
        <v/>
      </c>
      <c r="F55" s="213" t="str" cm="1">
        <f t="array" ref="F55">IFERROR(_xlfn.IFS($F$1=$Q$1,_xlfn.XLOOKUP($E55,$P$2:$P$100,Q$2:Q$100)&amp;"",$F$1=$S$1,_xlfn.XLOOKUP($E55,$R$2:$R$100,$S$2:$S$100)&amp;"",$F$1=$Y$1,_xlfn.XLOOKUP($E55,$X$2:$X$100,$Y$2:$Y$100)&amp;"",$F$1=$U$1,_xlfn.XLOOKUP($E55,$T$2:$T$100,$U$2:$U$100)&amp;"",$F$1=$W$1,_xlfn.XLOOKUP($E55,$V$2:$V$100,$W$2:$W$100)&amp;"",$F$1=$AA$1,_xlfn.XLOOKUP($E55,$Z$2:$Z$100,$AA$2:$AA$100)&amp;"",TRUE, ""),"")</f>
        <v/>
      </c>
      <c r="G55" s="215" t="str" cm="1">
        <f t="array" ref="G55">IFERROR(IF($F55&lt;&gt;"",_xlfn.IFS($F$1="LM7 31 ClPRODUCT4 ms","LM7",$F$1="LMS1 31 ClPRODUCT4 ms","CV",$F$1="LMS2 31 ClPRODUCT4 ms","CL",$F$1="LMS5 31 ClPRODUCT4 ms","JZ",$F$1="LMS8 31 ClPRODUCT4 ms","DL",$F$1="LMS6 31 ClPRODUCT4 ms","MD",TRUE, ""),IF(AND($E$1="GENINTEGRATION 22 Attributes",$E55&lt;&gt;""),"22","")),"")</f>
        <v/>
      </c>
      <c r="H55" s="21"/>
      <c r="I55" s="21"/>
      <c r="J55" s="229"/>
      <c r="K55" s="229"/>
      <c r="L55" s="229"/>
      <c r="M55" s="229"/>
      <c r="N55" s="229"/>
      <c r="O55" s="229"/>
      <c r="P55" s="230" t="str">
        <f t="shared" si="22"/>
        <v/>
      </c>
      <c r="Q55" s="222" t="str">
        <f t="shared" si="13"/>
        <v/>
      </c>
      <c r="R55" s="230" t="str">
        <f t="shared" si="14"/>
        <v/>
      </c>
      <c r="S55" s="222" t="str">
        <f t="shared" si="15"/>
        <v/>
      </c>
      <c r="T55" s="230" t="str">
        <f t="shared" si="16"/>
        <v/>
      </c>
      <c r="U55" s="222" t="str">
        <f t="shared" si="17"/>
        <v/>
      </c>
      <c r="V55" s="230" t="str">
        <f t="shared" si="18"/>
        <v/>
      </c>
      <c r="W55" s="222" t="str">
        <f t="shared" si="19"/>
        <v/>
      </c>
      <c r="X55" s="230" t="str">
        <f t="shared" si="20"/>
        <v/>
      </c>
      <c r="Y55" s="222" t="str">
        <f t="shared" si="21"/>
        <v/>
      </c>
      <c r="Z55" s="230" t="str">
        <f t="shared" si="10"/>
        <v/>
      </c>
      <c r="AA55" s="222" t="str">
        <f t="shared" si="11"/>
        <v/>
      </c>
    </row>
    <row r="56" spans="5:27" ht="20.100000000000001" customHeight="1" x14ac:dyDescent="0.55000000000000004">
      <c r="E56" s="217" t="str" cm="1">
        <f t="array" ref="E56">IFERROR(_xlfn.IFS($E$1="GENINTEGRATION 22 Parameters",(_xlfn.IFS($F$1=$Q$1,INDEX($P$2:$P$100,MATCH(0,INDEX(COUNTIF($E$1:$E55,$P$2:$P$100)+(COUNTIF($P$2:$P$100,$P$2:$P$100)&lt;&gt;1),0,0),0)),$F$1=$S$1,INDEX($R$2:$R$100,MATCH(0,INDEX(COUNTIF($E$1:$E55,$R$2:$R$100)+(COUNTIF($R$2:$R$100,$R$2:$R$100)&lt;&gt;1),0,0),0)),$F$1=$U$1,INDEX($T$2:$T$100,MATCH(0,INDEX(COUNTIF($E$1:$E55,$T$2:$T$100)+(COUNTIF($T$2:$T$100,$T$2:$T$100)&lt;&gt;1),0,0),0)),$F$1=$W$1,INDEX($V$2:$V$100,MATCH(0,INDEX(COUNTIF($E$1:$E55,$V$2:$V$100)+(COUNTIF($V$2:$V$100,$V$2:$V$100)&lt;&gt;1),0,0),0)),$F$1=$Y$1,INDEX($X$2:$X$100,MATCH(0,INDEX(COUNTIF($E$1:$E55,$X$2:$X$100)+(COUNTIF($X$2:$X$100,$X$2:$X$100)&lt;&gt;1),0,0),0)),$F$1=$AA$1,INDEX($Z$2:$Z$100,MATCH(0,INDEX(COUNTIF($E$1:$E55,$Z$2:$Z$100)+(COUNTIF($Z$2:$Z$100,$Z$2:$Z$100)&lt;&gt;1),0,0),0)),TRUE,"")),$E$1="GENINTEGRATION 22 Attributes",INDEX($H$2:$H$100,MATCH(0,INDEX(COUNTIF($E$1:$E55,$H$2:$H$100)+(COUNTIF($H$2:$H$100,$H$2:$H$100)&lt;&gt;1),0,0),0)),TRUE,""),"")</f>
        <v/>
      </c>
      <c r="F56" s="213" t="str" cm="1">
        <f t="array" ref="F56">IFERROR(_xlfn.IFS($F$1=$Q$1,_xlfn.XLOOKUP($E56,$P$2:$P$100,Q$2:Q$100)&amp;"",$F$1=$S$1,_xlfn.XLOOKUP($E56,$R$2:$R$100,$S$2:$S$100)&amp;"",$F$1=$Y$1,_xlfn.XLOOKUP($E56,$X$2:$X$100,$Y$2:$Y$100)&amp;"",$F$1=$U$1,_xlfn.XLOOKUP($E56,$T$2:$T$100,$U$2:$U$100)&amp;"",$F$1=$W$1,_xlfn.XLOOKUP($E56,$V$2:$V$100,$W$2:$W$100)&amp;"",$F$1=$AA$1,_xlfn.XLOOKUP($E56,$Z$2:$Z$100,$AA$2:$AA$100)&amp;"",TRUE, ""),"")</f>
        <v/>
      </c>
      <c r="G56" s="215" t="str" cm="1">
        <f t="array" ref="G56">IFERROR(IF($F56&lt;&gt;"",_xlfn.IFS($F$1="LM7 31 ClPRODUCT4 ms","LM7",$F$1="LMS1 31 ClPRODUCT4 ms","CV",$F$1="LMS2 31 ClPRODUCT4 ms","CL",$F$1="LMS5 31 ClPRODUCT4 ms","JZ",$F$1="LMS8 31 ClPRODUCT4 ms","DL",$F$1="LMS6 31 ClPRODUCT4 ms","MD",TRUE, ""),IF(AND($E$1="GENINTEGRATION 22 Attributes",$E56&lt;&gt;""),"22","")),"")</f>
        <v/>
      </c>
      <c r="H56" s="21"/>
      <c r="I56" s="21"/>
      <c r="J56" s="229"/>
      <c r="K56" s="229"/>
      <c r="L56" s="229"/>
      <c r="M56" s="229"/>
      <c r="N56" s="229"/>
      <c r="O56" s="229"/>
      <c r="P56" s="230" t="str">
        <f t="shared" si="22"/>
        <v/>
      </c>
      <c r="Q56" s="222" t="str">
        <f t="shared" si="13"/>
        <v/>
      </c>
      <c r="R56" s="230" t="str">
        <f t="shared" si="14"/>
        <v/>
      </c>
      <c r="S56" s="222" t="str">
        <f t="shared" si="15"/>
        <v/>
      </c>
      <c r="T56" s="230" t="str">
        <f t="shared" si="16"/>
        <v/>
      </c>
      <c r="U56" s="222" t="str">
        <f t="shared" si="17"/>
        <v/>
      </c>
      <c r="V56" s="230" t="str">
        <f t="shared" si="18"/>
        <v/>
      </c>
      <c r="W56" s="222" t="str">
        <f t="shared" si="19"/>
        <v/>
      </c>
      <c r="X56" s="230" t="str">
        <f t="shared" si="20"/>
        <v/>
      </c>
      <c r="Y56" s="222" t="str">
        <f t="shared" si="21"/>
        <v/>
      </c>
      <c r="Z56" s="230" t="str">
        <f t="shared" si="10"/>
        <v/>
      </c>
      <c r="AA56" s="222" t="str">
        <f t="shared" si="11"/>
        <v/>
      </c>
    </row>
    <row r="57" spans="5:27" ht="20.100000000000001" customHeight="1" x14ac:dyDescent="0.55000000000000004">
      <c r="E57" s="217" t="str" cm="1">
        <f t="array" ref="E57">IFERROR(_xlfn.IFS($E$1="GENINTEGRATION 22 Parameters",(_xlfn.IFS($F$1=$Q$1,INDEX($P$2:$P$100,MATCH(0,INDEX(COUNTIF($E$1:$E56,$P$2:$P$100)+(COUNTIF($P$2:$P$100,$P$2:$P$100)&lt;&gt;1),0,0),0)),$F$1=$S$1,INDEX($R$2:$R$100,MATCH(0,INDEX(COUNTIF($E$1:$E56,$R$2:$R$100)+(COUNTIF($R$2:$R$100,$R$2:$R$100)&lt;&gt;1),0,0),0)),$F$1=$U$1,INDEX($T$2:$T$100,MATCH(0,INDEX(COUNTIF($E$1:$E56,$T$2:$T$100)+(COUNTIF($T$2:$T$100,$T$2:$T$100)&lt;&gt;1),0,0),0)),$F$1=$W$1,INDEX($V$2:$V$100,MATCH(0,INDEX(COUNTIF($E$1:$E56,$V$2:$V$100)+(COUNTIF($V$2:$V$100,$V$2:$V$100)&lt;&gt;1),0,0),0)),$F$1=$Y$1,INDEX($X$2:$X$100,MATCH(0,INDEX(COUNTIF($E$1:$E56,$X$2:$X$100)+(COUNTIF($X$2:$X$100,$X$2:$X$100)&lt;&gt;1),0,0),0)),$F$1=$AA$1,INDEX($Z$2:$Z$100,MATCH(0,INDEX(COUNTIF($E$1:$E56,$Z$2:$Z$100)+(COUNTIF($Z$2:$Z$100,$Z$2:$Z$100)&lt;&gt;1),0,0),0)),TRUE,"")),$E$1="GENINTEGRATION 22 Attributes",INDEX($H$2:$H$100,MATCH(0,INDEX(COUNTIF($E$1:$E56,$H$2:$H$100)+(COUNTIF($H$2:$H$100,$H$2:$H$100)&lt;&gt;1),0,0),0)),TRUE,""),"")</f>
        <v/>
      </c>
      <c r="F57" s="213" t="str" cm="1">
        <f t="array" ref="F57">IFERROR(_xlfn.IFS($F$1=$Q$1,_xlfn.XLOOKUP($E57,$P$2:$P$100,Q$2:Q$100)&amp;"",$F$1=$S$1,_xlfn.XLOOKUP($E57,$R$2:$R$100,$S$2:$S$100)&amp;"",$F$1=$Y$1,_xlfn.XLOOKUP($E57,$X$2:$X$100,$Y$2:$Y$100)&amp;"",$F$1=$U$1,_xlfn.XLOOKUP($E57,$T$2:$T$100,$U$2:$U$100)&amp;"",$F$1=$W$1,_xlfn.XLOOKUP($E57,$V$2:$V$100,$W$2:$W$100)&amp;"",$F$1=$AA$1,_xlfn.XLOOKUP($E57,$Z$2:$Z$100,$AA$2:$AA$100)&amp;"",TRUE, ""),"")</f>
        <v/>
      </c>
      <c r="G57" s="215" t="str" cm="1">
        <f t="array" ref="G57">IFERROR(IF($F57&lt;&gt;"",_xlfn.IFS($F$1="LM7 31 ClPRODUCT4 ms","LM7",$F$1="LMS1 31 ClPRODUCT4 ms","CV",$F$1="LMS2 31 ClPRODUCT4 ms","CL",$F$1="LMS5 31 ClPRODUCT4 ms","JZ",$F$1="LMS8 31 ClPRODUCT4 ms","DL",$F$1="LMS6 31 ClPRODUCT4 ms","MD",TRUE, ""),IF(AND($E$1="GENINTEGRATION 22 Attributes",$E57&lt;&gt;""),"22","")),"")</f>
        <v/>
      </c>
      <c r="H57" s="21"/>
      <c r="I57" s="21"/>
      <c r="J57" s="229"/>
      <c r="K57" s="229"/>
      <c r="L57" s="229"/>
      <c r="M57" s="229"/>
      <c r="N57" s="229"/>
      <c r="O57" s="229"/>
      <c r="P57" s="230" t="str">
        <f t="shared" si="22"/>
        <v/>
      </c>
      <c r="Q57" s="222" t="str">
        <f t="shared" si="13"/>
        <v/>
      </c>
      <c r="R57" s="230" t="str">
        <f t="shared" si="14"/>
        <v/>
      </c>
      <c r="S57" s="222" t="str">
        <f t="shared" si="15"/>
        <v/>
      </c>
      <c r="T57" s="230" t="str">
        <f t="shared" si="16"/>
        <v/>
      </c>
      <c r="U57" s="222" t="str">
        <f t="shared" si="17"/>
        <v/>
      </c>
      <c r="V57" s="230" t="str">
        <f t="shared" si="18"/>
        <v/>
      </c>
      <c r="W57" s="222" t="str">
        <f t="shared" si="19"/>
        <v/>
      </c>
      <c r="X57" s="230" t="str">
        <f t="shared" si="20"/>
        <v/>
      </c>
      <c r="Y57" s="222" t="str">
        <f t="shared" si="21"/>
        <v/>
      </c>
      <c r="Z57" s="230" t="str">
        <f t="shared" si="10"/>
        <v/>
      </c>
      <c r="AA57" s="222" t="str">
        <f t="shared" si="11"/>
        <v/>
      </c>
    </row>
    <row r="58" spans="5:27" ht="20.100000000000001" customHeight="1" x14ac:dyDescent="0.55000000000000004">
      <c r="E58" s="217" t="str" cm="1">
        <f t="array" ref="E58">IFERROR(_xlfn.IFS($E$1="GENINTEGRATION 22 Parameters",(_xlfn.IFS($F$1=$Q$1,INDEX($P$2:$P$100,MATCH(0,INDEX(COUNTIF($E$1:$E57,$P$2:$P$100)+(COUNTIF($P$2:$P$100,$P$2:$P$100)&lt;&gt;1),0,0),0)),$F$1=$S$1,INDEX($R$2:$R$100,MATCH(0,INDEX(COUNTIF($E$1:$E57,$R$2:$R$100)+(COUNTIF($R$2:$R$100,$R$2:$R$100)&lt;&gt;1),0,0),0)),$F$1=$U$1,INDEX($T$2:$T$100,MATCH(0,INDEX(COUNTIF($E$1:$E57,$T$2:$T$100)+(COUNTIF($T$2:$T$100,$T$2:$T$100)&lt;&gt;1),0,0),0)),$F$1=$W$1,INDEX($V$2:$V$100,MATCH(0,INDEX(COUNTIF($E$1:$E57,$V$2:$V$100)+(COUNTIF($V$2:$V$100,$V$2:$V$100)&lt;&gt;1),0,0),0)),$F$1=$Y$1,INDEX($X$2:$X$100,MATCH(0,INDEX(COUNTIF($E$1:$E57,$X$2:$X$100)+(COUNTIF($X$2:$X$100,$X$2:$X$100)&lt;&gt;1),0,0),0)),$F$1=$AA$1,INDEX($Z$2:$Z$100,MATCH(0,INDEX(COUNTIF($E$1:$E57,$Z$2:$Z$100)+(COUNTIF($Z$2:$Z$100,$Z$2:$Z$100)&lt;&gt;1),0,0),0)),TRUE,"")),$E$1="GENINTEGRATION 22 Attributes",INDEX($H$2:$H$100,MATCH(0,INDEX(COUNTIF($E$1:$E57,$H$2:$H$100)+(COUNTIF($H$2:$H$100,$H$2:$H$100)&lt;&gt;1),0,0),0)),TRUE,""),"")</f>
        <v/>
      </c>
      <c r="F58" s="213" t="str" cm="1">
        <f t="array" ref="F58">IFERROR(_xlfn.IFS($F$1=$Q$1,_xlfn.XLOOKUP($E58,$P$2:$P$100,Q$2:Q$100)&amp;"",$F$1=$S$1,_xlfn.XLOOKUP($E58,$R$2:$R$100,$S$2:$S$100)&amp;"",$F$1=$Y$1,_xlfn.XLOOKUP($E58,$X$2:$X$100,$Y$2:$Y$100)&amp;"",$F$1=$U$1,_xlfn.XLOOKUP($E58,$T$2:$T$100,$U$2:$U$100)&amp;"",$F$1=$W$1,_xlfn.XLOOKUP($E58,$V$2:$V$100,$W$2:$W$100)&amp;"",$F$1=$AA$1,_xlfn.XLOOKUP($E58,$Z$2:$Z$100,$AA$2:$AA$100)&amp;"",TRUE, ""),"")</f>
        <v/>
      </c>
      <c r="G58" s="215" t="str" cm="1">
        <f t="array" ref="G58">IFERROR(IF($F58&lt;&gt;"",_xlfn.IFS($F$1="LM7 31 ClPRODUCT4 ms","LM7",$F$1="LMS1 31 ClPRODUCT4 ms","CV",$F$1="LMS2 31 ClPRODUCT4 ms","CL",$F$1="LMS5 31 ClPRODUCT4 ms","JZ",$F$1="LMS8 31 ClPRODUCT4 ms","DL",$F$1="LMS6 31 ClPRODUCT4 ms","MD",TRUE, ""),IF(AND($E$1="GENINTEGRATION 22 Attributes",$E58&lt;&gt;""),"22","")),"")</f>
        <v/>
      </c>
      <c r="H58" s="21"/>
      <c r="I58" s="21"/>
      <c r="J58" s="229"/>
      <c r="K58" s="229"/>
      <c r="L58" s="229"/>
      <c r="M58" s="229"/>
      <c r="N58" s="229"/>
      <c r="O58" s="229"/>
      <c r="P58" s="230" t="str">
        <f t="shared" si="22"/>
        <v/>
      </c>
      <c r="Q58" s="222" t="str">
        <f t="shared" si="13"/>
        <v/>
      </c>
      <c r="R58" s="230" t="str">
        <f t="shared" si="14"/>
        <v/>
      </c>
      <c r="S58" s="222" t="str">
        <f t="shared" si="15"/>
        <v/>
      </c>
      <c r="T58" s="230" t="str">
        <f t="shared" si="16"/>
        <v/>
      </c>
      <c r="U58" s="222" t="str">
        <f t="shared" si="17"/>
        <v/>
      </c>
      <c r="V58" s="230" t="str">
        <f t="shared" si="18"/>
        <v/>
      </c>
      <c r="W58" s="222" t="str">
        <f t="shared" si="19"/>
        <v/>
      </c>
      <c r="X58" s="230" t="str">
        <f t="shared" si="20"/>
        <v/>
      </c>
      <c r="Y58" s="222" t="str">
        <f t="shared" si="21"/>
        <v/>
      </c>
      <c r="Z58" s="230" t="str">
        <f t="shared" si="10"/>
        <v/>
      </c>
      <c r="AA58" s="222" t="str">
        <f t="shared" si="11"/>
        <v/>
      </c>
    </row>
    <row r="59" spans="5:27" ht="20.100000000000001" customHeight="1" x14ac:dyDescent="0.55000000000000004">
      <c r="E59" s="217" t="str" cm="1">
        <f t="array" ref="E59">IFERROR(_xlfn.IFS($E$1="GENINTEGRATION 22 Parameters",(_xlfn.IFS($F$1=$Q$1,INDEX($P$2:$P$100,MATCH(0,INDEX(COUNTIF($E$1:$E58,$P$2:$P$100)+(COUNTIF($P$2:$P$100,$P$2:$P$100)&lt;&gt;1),0,0),0)),$F$1=$S$1,INDEX($R$2:$R$100,MATCH(0,INDEX(COUNTIF($E$1:$E58,$R$2:$R$100)+(COUNTIF($R$2:$R$100,$R$2:$R$100)&lt;&gt;1),0,0),0)),$F$1=$U$1,INDEX($T$2:$T$100,MATCH(0,INDEX(COUNTIF($E$1:$E58,$T$2:$T$100)+(COUNTIF($T$2:$T$100,$T$2:$T$100)&lt;&gt;1),0,0),0)),$F$1=$W$1,INDEX($V$2:$V$100,MATCH(0,INDEX(COUNTIF($E$1:$E58,$V$2:$V$100)+(COUNTIF($V$2:$V$100,$V$2:$V$100)&lt;&gt;1),0,0),0)),$F$1=$Y$1,INDEX($X$2:$X$100,MATCH(0,INDEX(COUNTIF($E$1:$E58,$X$2:$X$100)+(COUNTIF($X$2:$X$100,$X$2:$X$100)&lt;&gt;1),0,0),0)),$F$1=$AA$1,INDEX($Z$2:$Z$100,MATCH(0,INDEX(COUNTIF($E$1:$E58,$Z$2:$Z$100)+(COUNTIF($Z$2:$Z$100,$Z$2:$Z$100)&lt;&gt;1),0,0),0)),TRUE,"")),$E$1="GENINTEGRATION 22 Attributes",INDEX($H$2:$H$100,MATCH(0,INDEX(COUNTIF($E$1:$E58,$H$2:$H$100)+(COUNTIF($H$2:$H$100,$H$2:$H$100)&lt;&gt;1),0,0),0)),TRUE,""),"")</f>
        <v/>
      </c>
      <c r="F59" s="213" t="str" cm="1">
        <f t="array" ref="F59">IFERROR(_xlfn.IFS($F$1=$Q$1,_xlfn.XLOOKUP($E59,$P$2:$P$100,Q$2:Q$100)&amp;"",$F$1=$S$1,_xlfn.XLOOKUP($E59,$R$2:$R$100,$S$2:$S$100)&amp;"",$F$1=$Y$1,_xlfn.XLOOKUP($E59,$X$2:$X$100,$Y$2:$Y$100)&amp;"",$F$1=$U$1,_xlfn.XLOOKUP($E59,$T$2:$T$100,$U$2:$U$100)&amp;"",$F$1=$W$1,_xlfn.XLOOKUP($E59,$V$2:$V$100,$W$2:$W$100)&amp;"",$F$1=$AA$1,_xlfn.XLOOKUP($E59,$Z$2:$Z$100,$AA$2:$AA$100)&amp;"",TRUE, ""),"")</f>
        <v/>
      </c>
      <c r="G59" s="215" t="str" cm="1">
        <f t="array" ref="G59">IFERROR(IF($F59&lt;&gt;"",_xlfn.IFS($F$1="LM7 31 ClPRODUCT4 ms","LM7",$F$1="LMS1 31 ClPRODUCT4 ms","CV",$F$1="LMS2 31 ClPRODUCT4 ms","CL",$F$1="LMS5 31 ClPRODUCT4 ms","JZ",$F$1="LMS8 31 ClPRODUCT4 ms","DL",$F$1="LMS6 31 ClPRODUCT4 ms","MD",TRUE, ""),IF(AND($E$1="GENINTEGRATION 22 Attributes",$E59&lt;&gt;""),"22","")),"")</f>
        <v/>
      </c>
      <c r="H59" s="21"/>
      <c r="I59" s="21"/>
      <c r="J59" s="229"/>
      <c r="K59" s="229"/>
      <c r="L59" s="229"/>
      <c r="M59" s="229"/>
      <c r="N59" s="229"/>
      <c r="O59" s="229"/>
      <c r="P59" s="230" t="str">
        <f t="shared" si="22"/>
        <v/>
      </c>
      <c r="Q59" s="222" t="str">
        <f t="shared" si="13"/>
        <v/>
      </c>
      <c r="R59" s="230" t="str">
        <f t="shared" si="14"/>
        <v/>
      </c>
      <c r="S59" s="222" t="str">
        <f t="shared" si="15"/>
        <v/>
      </c>
      <c r="T59" s="230" t="str">
        <f t="shared" si="16"/>
        <v/>
      </c>
      <c r="U59" s="222" t="str">
        <f t="shared" si="17"/>
        <v/>
      </c>
      <c r="V59" s="230" t="str">
        <f t="shared" si="18"/>
        <v/>
      </c>
      <c r="W59" s="222" t="str">
        <f t="shared" si="19"/>
        <v/>
      </c>
      <c r="X59" s="230" t="str">
        <f t="shared" si="20"/>
        <v/>
      </c>
      <c r="Y59" s="222" t="str">
        <f t="shared" si="21"/>
        <v/>
      </c>
      <c r="Z59" s="230" t="str">
        <f t="shared" si="10"/>
        <v/>
      </c>
      <c r="AA59" s="222" t="str">
        <f t="shared" si="11"/>
        <v/>
      </c>
    </row>
    <row r="60" spans="5:27" ht="20.100000000000001" customHeight="1" x14ac:dyDescent="0.55000000000000004">
      <c r="E60" s="217" t="str" cm="1">
        <f t="array" ref="E60">IFERROR(_xlfn.IFS($E$1="GENINTEGRATION 22 Parameters",(_xlfn.IFS($F$1=$Q$1,INDEX($P$2:$P$100,MATCH(0,INDEX(COUNTIF($E$1:$E59,$P$2:$P$100)+(COUNTIF($P$2:$P$100,$P$2:$P$100)&lt;&gt;1),0,0),0)),$F$1=$S$1,INDEX($R$2:$R$100,MATCH(0,INDEX(COUNTIF($E$1:$E59,$R$2:$R$100)+(COUNTIF($R$2:$R$100,$R$2:$R$100)&lt;&gt;1),0,0),0)),$F$1=$U$1,INDEX($T$2:$T$100,MATCH(0,INDEX(COUNTIF($E$1:$E59,$T$2:$T$100)+(COUNTIF($T$2:$T$100,$T$2:$T$100)&lt;&gt;1),0,0),0)),$F$1=$W$1,INDEX($V$2:$V$100,MATCH(0,INDEX(COUNTIF($E$1:$E59,$V$2:$V$100)+(COUNTIF($V$2:$V$100,$V$2:$V$100)&lt;&gt;1),0,0),0)),$F$1=$Y$1,INDEX($X$2:$X$100,MATCH(0,INDEX(COUNTIF($E$1:$E59,$X$2:$X$100)+(COUNTIF($X$2:$X$100,$X$2:$X$100)&lt;&gt;1),0,0),0)),$F$1=$AA$1,INDEX($Z$2:$Z$100,MATCH(0,INDEX(COUNTIF($E$1:$E59,$Z$2:$Z$100)+(COUNTIF($Z$2:$Z$100,$Z$2:$Z$100)&lt;&gt;1),0,0),0)),TRUE,"")),$E$1="GENINTEGRATION 22 Attributes",INDEX($H$2:$H$100,MATCH(0,INDEX(COUNTIF($E$1:$E59,$H$2:$H$100)+(COUNTIF($H$2:$H$100,$H$2:$H$100)&lt;&gt;1),0,0),0)),TRUE,""),"")</f>
        <v/>
      </c>
      <c r="F60" s="213" t="str" cm="1">
        <f t="array" ref="F60">IFERROR(_xlfn.IFS($F$1=$Q$1,_xlfn.XLOOKUP($E60,$P$2:$P$100,Q$2:Q$100)&amp;"",$F$1=$S$1,_xlfn.XLOOKUP($E60,$R$2:$R$100,$S$2:$S$100)&amp;"",$F$1=$Y$1,_xlfn.XLOOKUP($E60,$X$2:$X$100,$Y$2:$Y$100)&amp;"",$F$1=$U$1,_xlfn.XLOOKUP($E60,$T$2:$T$100,$U$2:$U$100)&amp;"",$F$1=$W$1,_xlfn.XLOOKUP($E60,$V$2:$V$100,$W$2:$W$100)&amp;"",$F$1=$AA$1,_xlfn.XLOOKUP($E60,$Z$2:$Z$100,$AA$2:$AA$100)&amp;"",TRUE, ""),"")</f>
        <v/>
      </c>
      <c r="G60" s="215" t="str" cm="1">
        <f t="array" ref="G60">IFERROR(IF($F60&lt;&gt;"",_xlfn.IFS($F$1="LM7 31 ClPRODUCT4 ms","LM7",$F$1="LMS1 31 ClPRODUCT4 ms","CV",$F$1="LMS2 31 ClPRODUCT4 ms","CL",$F$1="LMS5 31 ClPRODUCT4 ms","JZ",$F$1="LMS8 31 ClPRODUCT4 ms","DL",$F$1="LMS6 31 ClPRODUCT4 ms","MD",TRUE, ""),IF(AND($E$1="GENINTEGRATION 22 Attributes",$E60&lt;&gt;""),"22","")),"")</f>
        <v/>
      </c>
      <c r="H60" s="21"/>
      <c r="I60" s="21"/>
      <c r="J60" s="229"/>
      <c r="K60" s="229"/>
      <c r="L60" s="229"/>
      <c r="M60" s="229"/>
      <c r="N60" s="229"/>
      <c r="O60" s="229"/>
      <c r="P60" s="230" t="str">
        <f t="shared" si="22"/>
        <v/>
      </c>
      <c r="Q60" s="222" t="str">
        <f t="shared" si="13"/>
        <v/>
      </c>
      <c r="R60" s="230" t="str">
        <f t="shared" si="14"/>
        <v/>
      </c>
      <c r="S60" s="222" t="str">
        <f t="shared" si="15"/>
        <v/>
      </c>
      <c r="T60" s="230" t="str">
        <f t="shared" si="16"/>
        <v/>
      </c>
      <c r="U60" s="222" t="str">
        <f t="shared" si="17"/>
        <v/>
      </c>
      <c r="V60" s="230" t="str">
        <f t="shared" si="18"/>
        <v/>
      </c>
      <c r="W60" s="222" t="str">
        <f t="shared" si="19"/>
        <v/>
      </c>
      <c r="X60" s="230" t="str">
        <f t="shared" si="20"/>
        <v/>
      </c>
      <c r="Y60" s="222" t="str">
        <f t="shared" si="21"/>
        <v/>
      </c>
      <c r="Z60" s="230" t="str">
        <f t="shared" si="10"/>
        <v/>
      </c>
      <c r="AA60" s="222" t="str">
        <f t="shared" si="11"/>
        <v/>
      </c>
    </row>
    <row r="61" spans="5:27" ht="20.100000000000001" customHeight="1" x14ac:dyDescent="0.55000000000000004">
      <c r="E61" s="217" t="str" cm="1">
        <f t="array" ref="E61">IFERROR(_xlfn.IFS($E$1="GENINTEGRATION 22 Parameters",(_xlfn.IFS($F$1=$Q$1,INDEX($P$2:$P$100,MATCH(0,INDEX(COUNTIF($E$1:$E60,$P$2:$P$100)+(COUNTIF($P$2:$P$100,$P$2:$P$100)&lt;&gt;1),0,0),0)),$F$1=$S$1,INDEX($R$2:$R$100,MATCH(0,INDEX(COUNTIF($E$1:$E60,$R$2:$R$100)+(COUNTIF($R$2:$R$100,$R$2:$R$100)&lt;&gt;1),0,0),0)),$F$1=$U$1,INDEX($T$2:$T$100,MATCH(0,INDEX(COUNTIF($E$1:$E60,$T$2:$T$100)+(COUNTIF($T$2:$T$100,$T$2:$T$100)&lt;&gt;1),0,0),0)),$F$1=$W$1,INDEX($V$2:$V$100,MATCH(0,INDEX(COUNTIF($E$1:$E60,$V$2:$V$100)+(COUNTIF($V$2:$V$100,$V$2:$V$100)&lt;&gt;1),0,0),0)),$F$1=$Y$1,INDEX($X$2:$X$100,MATCH(0,INDEX(COUNTIF($E$1:$E60,$X$2:$X$100)+(COUNTIF($X$2:$X$100,$X$2:$X$100)&lt;&gt;1),0,0),0)),$F$1=$AA$1,INDEX($Z$2:$Z$100,MATCH(0,INDEX(COUNTIF($E$1:$E60,$Z$2:$Z$100)+(COUNTIF($Z$2:$Z$100,$Z$2:$Z$100)&lt;&gt;1),0,0),0)),TRUE,"")),$E$1="GENINTEGRATION 22 Attributes",INDEX($H$2:$H$100,MATCH(0,INDEX(COUNTIF($E$1:$E60,$H$2:$H$100)+(COUNTIF($H$2:$H$100,$H$2:$H$100)&lt;&gt;1),0,0),0)),TRUE,""),"")</f>
        <v/>
      </c>
      <c r="F61" s="213" t="str" cm="1">
        <f t="array" ref="F61">IFERROR(_xlfn.IFS($F$1=$Q$1,_xlfn.XLOOKUP($E61,$P$2:$P$100,Q$2:Q$100)&amp;"",$F$1=$S$1,_xlfn.XLOOKUP($E61,$R$2:$R$100,$S$2:$S$100)&amp;"",$F$1=$Y$1,_xlfn.XLOOKUP($E61,$X$2:$X$100,$Y$2:$Y$100)&amp;"",$F$1=$U$1,_xlfn.XLOOKUP($E61,$T$2:$T$100,$U$2:$U$100)&amp;"",$F$1=$W$1,_xlfn.XLOOKUP($E61,$V$2:$V$100,$W$2:$W$100)&amp;"",$F$1=$AA$1,_xlfn.XLOOKUP($E61,$Z$2:$Z$100,$AA$2:$AA$100)&amp;"",TRUE, ""),"")</f>
        <v/>
      </c>
      <c r="G61" s="215" t="str" cm="1">
        <f t="array" ref="G61">IFERROR(IF($F61&lt;&gt;"",_xlfn.IFS($F$1="LM7 31 ClPRODUCT4 ms","LM7",$F$1="LMS1 31 ClPRODUCT4 ms","CV",$F$1="LMS2 31 ClPRODUCT4 ms","CL",$F$1="LMS5 31 ClPRODUCT4 ms","JZ",$F$1="LMS8 31 ClPRODUCT4 ms","DL",$F$1="LMS6 31 ClPRODUCT4 ms","MD",TRUE, ""),IF(AND($E$1="GENINTEGRATION 22 Attributes",$E61&lt;&gt;""),"22","")),"")</f>
        <v/>
      </c>
      <c r="H61" s="21"/>
      <c r="I61" s="21"/>
      <c r="J61" s="229"/>
      <c r="K61" s="229"/>
      <c r="L61" s="229"/>
      <c r="M61" s="229"/>
      <c r="N61" s="229"/>
      <c r="O61" s="229"/>
      <c r="P61" s="230" t="str">
        <f t="shared" si="22"/>
        <v/>
      </c>
      <c r="Q61" s="222" t="str">
        <f t="shared" si="13"/>
        <v/>
      </c>
      <c r="R61" s="230" t="str">
        <f t="shared" si="14"/>
        <v/>
      </c>
      <c r="S61" s="222" t="str">
        <f t="shared" si="15"/>
        <v/>
      </c>
      <c r="T61" s="230" t="str">
        <f t="shared" si="16"/>
        <v/>
      </c>
      <c r="U61" s="222" t="str">
        <f t="shared" si="17"/>
        <v/>
      </c>
      <c r="V61" s="230" t="str">
        <f t="shared" si="18"/>
        <v/>
      </c>
      <c r="W61" s="222" t="str">
        <f t="shared" si="19"/>
        <v/>
      </c>
      <c r="X61" s="230" t="str">
        <f t="shared" si="20"/>
        <v/>
      </c>
      <c r="Y61" s="222" t="str">
        <f t="shared" si="21"/>
        <v/>
      </c>
      <c r="Z61" s="230" t="str">
        <f t="shared" si="10"/>
        <v/>
      </c>
      <c r="AA61" s="222" t="str">
        <f t="shared" si="11"/>
        <v/>
      </c>
    </row>
    <row r="62" spans="5:27" ht="20.100000000000001" customHeight="1" x14ac:dyDescent="0.55000000000000004">
      <c r="E62" s="217" t="str" cm="1">
        <f t="array" ref="E62">IFERROR(_xlfn.IFS($E$1="GENINTEGRATION 22 Parameters",(_xlfn.IFS($F$1=$Q$1,INDEX($P$2:$P$100,MATCH(0,INDEX(COUNTIF($E$1:$E61,$P$2:$P$100)+(COUNTIF($P$2:$P$100,$P$2:$P$100)&lt;&gt;1),0,0),0)),$F$1=$S$1,INDEX($R$2:$R$100,MATCH(0,INDEX(COUNTIF($E$1:$E61,$R$2:$R$100)+(COUNTIF($R$2:$R$100,$R$2:$R$100)&lt;&gt;1),0,0),0)),$F$1=$U$1,INDEX($T$2:$T$100,MATCH(0,INDEX(COUNTIF($E$1:$E61,$T$2:$T$100)+(COUNTIF($T$2:$T$100,$T$2:$T$100)&lt;&gt;1),0,0),0)),$F$1=$W$1,INDEX($V$2:$V$100,MATCH(0,INDEX(COUNTIF($E$1:$E61,$V$2:$V$100)+(COUNTIF($V$2:$V$100,$V$2:$V$100)&lt;&gt;1),0,0),0)),$F$1=$Y$1,INDEX($X$2:$X$100,MATCH(0,INDEX(COUNTIF($E$1:$E61,$X$2:$X$100)+(COUNTIF($X$2:$X$100,$X$2:$X$100)&lt;&gt;1),0,0),0)),$F$1=$AA$1,INDEX($Z$2:$Z$100,MATCH(0,INDEX(COUNTIF($E$1:$E61,$Z$2:$Z$100)+(COUNTIF($Z$2:$Z$100,$Z$2:$Z$100)&lt;&gt;1),0,0),0)),TRUE,"")),$E$1="GENINTEGRATION 22 Attributes",INDEX($H$2:$H$100,MATCH(0,INDEX(COUNTIF($E$1:$E61,$H$2:$H$100)+(COUNTIF($H$2:$H$100,$H$2:$H$100)&lt;&gt;1),0,0),0)),TRUE,""),"")</f>
        <v/>
      </c>
      <c r="F62" s="213" t="str" cm="1">
        <f t="array" ref="F62">IFERROR(_xlfn.IFS($F$1=$Q$1,_xlfn.XLOOKUP($E62,$P$2:$P$100,Q$2:Q$100)&amp;"",$F$1=$S$1,_xlfn.XLOOKUP($E62,$R$2:$R$100,$S$2:$S$100)&amp;"",$F$1=$Y$1,_xlfn.XLOOKUP($E62,$X$2:$X$100,$Y$2:$Y$100)&amp;"",$F$1=$U$1,_xlfn.XLOOKUP($E62,$T$2:$T$100,$U$2:$U$100)&amp;"",$F$1=$W$1,_xlfn.XLOOKUP($E62,$V$2:$V$100,$W$2:$W$100)&amp;"",$F$1=$AA$1,_xlfn.XLOOKUP($E62,$Z$2:$Z$100,$AA$2:$AA$100)&amp;"",TRUE, ""),"")</f>
        <v/>
      </c>
      <c r="G62" s="215" t="str" cm="1">
        <f t="array" ref="G62">IFERROR(IF($F62&lt;&gt;"",_xlfn.IFS($F$1="LM7 31 ClPRODUCT4 ms","LM7",$F$1="LMS1 31 ClPRODUCT4 ms","CV",$F$1="LMS2 31 ClPRODUCT4 ms","CL",$F$1="LMS5 31 ClPRODUCT4 ms","JZ",$F$1="LMS8 31 ClPRODUCT4 ms","DL",$F$1="LMS6 31 ClPRODUCT4 ms","MD",TRUE, ""),IF(AND($E$1="GENINTEGRATION 22 Attributes",$E62&lt;&gt;""),"22","")),"")</f>
        <v/>
      </c>
      <c r="H62" s="21"/>
      <c r="I62" s="21"/>
      <c r="J62" s="229"/>
      <c r="K62" s="229"/>
      <c r="L62" s="229"/>
      <c r="M62" s="229"/>
      <c r="N62" s="229"/>
      <c r="O62" s="229"/>
      <c r="P62" s="230" t="str">
        <f t="shared" si="22"/>
        <v/>
      </c>
      <c r="Q62" s="222" t="str">
        <f t="shared" si="13"/>
        <v/>
      </c>
      <c r="R62" s="230" t="str">
        <f t="shared" si="14"/>
        <v/>
      </c>
      <c r="S62" s="222" t="str">
        <f t="shared" si="15"/>
        <v/>
      </c>
      <c r="T62" s="230" t="str">
        <f t="shared" si="16"/>
        <v/>
      </c>
      <c r="U62" s="222" t="str">
        <f t="shared" si="17"/>
        <v/>
      </c>
      <c r="V62" s="230" t="str">
        <f t="shared" si="18"/>
        <v/>
      </c>
      <c r="W62" s="222" t="str">
        <f t="shared" si="19"/>
        <v/>
      </c>
      <c r="X62" s="230" t="str">
        <f t="shared" si="20"/>
        <v/>
      </c>
      <c r="Y62" s="222" t="str">
        <f t="shared" si="21"/>
        <v/>
      </c>
      <c r="Z62" s="230" t="str">
        <f t="shared" si="10"/>
        <v/>
      </c>
      <c r="AA62" s="222" t="str">
        <f t="shared" si="11"/>
        <v/>
      </c>
    </row>
    <row r="63" spans="5:27" ht="20.100000000000001" customHeight="1" x14ac:dyDescent="0.55000000000000004">
      <c r="E63" s="217" t="str" cm="1">
        <f t="array" ref="E63">IFERROR(_xlfn.IFS($E$1="GENINTEGRATION 22 Parameters",(_xlfn.IFS($F$1=$Q$1,INDEX($P$2:$P$100,MATCH(0,INDEX(COUNTIF($E$1:$E62,$P$2:$P$100)+(COUNTIF($P$2:$P$100,$P$2:$P$100)&lt;&gt;1),0,0),0)),$F$1=$S$1,INDEX($R$2:$R$100,MATCH(0,INDEX(COUNTIF($E$1:$E62,$R$2:$R$100)+(COUNTIF($R$2:$R$100,$R$2:$R$100)&lt;&gt;1),0,0),0)),$F$1=$U$1,INDEX($T$2:$T$100,MATCH(0,INDEX(COUNTIF($E$1:$E62,$T$2:$T$100)+(COUNTIF($T$2:$T$100,$T$2:$T$100)&lt;&gt;1),0,0),0)),$F$1=$W$1,INDEX($V$2:$V$100,MATCH(0,INDEX(COUNTIF($E$1:$E62,$V$2:$V$100)+(COUNTIF($V$2:$V$100,$V$2:$V$100)&lt;&gt;1),0,0),0)),$F$1=$Y$1,INDEX($X$2:$X$100,MATCH(0,INDEX(COUNTIF($E$1:$E62,$X$2:$X$100)+(COUNTIF($X$2:$X$100,$X$2:$X$100)&lt;&gt;1),0,0),0)),$F$1=$AA$1,INDEX($Z$2:$Z$100,MATCH(0,INDEX(COUNTIF($E$1:$E62,$Z$2:$Z$100)+(COUNTIF($Z$2:$Z$100,$Z$2:$Z$100)&lt;&gt;1),0,0),0)),TRUE,"")),$E$1="GENINTEGRATION 22 Attributes",INDEX($H$2:$H$100,MATCH(0,INDEX(COUNTIF($E$1:$E62,$H$2:$H$100)+(COUNTIF($H$2:$H$100,$H$2:$H$100)&lt;&gt;1),0,0),0)),TRUE,""),"")</f>
        <v/>
      </c>
      <c r="F63" s="213" t="str" cm="1">
        <f t="array" ref="F63">IFERROR(_xlfn.IFS($F$1=$Q$1,_xlfn.XLOOKUP($E63,$P$2:$P$100,Q$2:Q$100)&amp;"",$F$1=$S$1,_xlfn.XLOOKUP($E63,$R$2:$R$100,$S$2:$S$100)&amp;"",$F$1=$Y$1,_xlfn.XLOOKUP($E63,$X$2:$X$100,$Y$2:$Y$100)&amp;"",$F$1=$U$1,_xlfn.XLOOKUP($E63,$T$2:$T$100,$U$2:$U$100)&amp;"",$F$1=$W$1,_xlfn.XLOOKUP($E63,$V$2:$V$100,$W$2:$W$100)&amp;"",$F$1=$AA$1,_xlfn.XLOOKUP($E63,$Z$2:$Z$100,$AA$2:$AA$100)&amp;"",TRUE, ""),"")</f>
        <v/>
      </c>
      <c r="G63" s="215" t="str" cm="1">
        <f t="array" ref="G63">IFERROR(IF($F63&lt;&gt;"",_xlfn.IFS($F$1="LM7 31 ClPRODUCT4 ms","LM7",$F$1="LMS1 31 ClPRODUCT4 ms","CV",$F$1="LMS2 31 ClPRODUCT4 ms","CL",$F$1="LMS5 31 ClPRODUCT4 ms","JZ",$F$1="LMS8 31 ClPRODUCT4 ms","DL",$F$1="LMS6 31 ClPRODUCT4 ms","MD",TRUE, ""),IF(AND($E$1="GENINTEGRATION 22 Attributes",$E63&lt;&gt;""),"22","")),"")</f>
        <v/>
      </c>
      <c r="H63" s="21"/>
      <c r="I63" s="21"/>
      <c r="J63" s="229"/>
      <c r="K63" s="229"/>
      <c r="L63" s="229"/>
      <c r="M63" s="229"/>
      <c r="N63" s="229"/>
      <c r="O63" s="229"/>
      <c r="P63" s="230" t="str">
        <f t="shared" si="22"/>
        <v/>
      </c>
      <c r="Q63" s="222" t="str">
        <f t="shared" si="13"/>
        <v/>
      </c>
      <c r="R63" s="230" t="str">
        <f t="shared" si="14"/>
        <v/>
      </c>
      <c r="S63" s="222" t="str">
        <f t="shared" si="15"/>
        <v/>
      </c>
      <c r="T63" s="230" t="str">
        <f t="shared" si="16"/>
        <v/>
      </c>
      <c r="U63" s="222" t="str">
        <f t="shared" si="17"/>
        <v/>
      </c>
      <c r="V63" s="230" t="str">
        <f t="shared" si="18"/>
        <v/>
      </c>
      <c r="W63" s="222" t="str">
        <f t="shared" si="19"/>
        <v/>
      </c>
      <c r="X63" s="230" t="str">
        <f t="shared" si="20"/>
        <v/>
      </c>
      <c r="Y63" s="222" t="str">
        <f t="shared" si="21"/>
        <v/>
      </c>
      <c r="Z63" s="230" t="str">
        <f t="shared" si="10"/>
        <v/>
      </c>
      <c r="AA63" s="222" t="str">
        <f t="shared" si="11"/>
        <v/>
      </c>
    </row>
    <row r="64" spans="5:27" ht="20.100000000000001" customHeight="1" x14ac:dyDescent="0.55000000000000004">
      <c r="E64" s="217" t="str" cm="1">
        <f t="array" ref="E64">IFERROR(_xlfn.IFS($E$1="GENINTEGRATION 22 Parameters",(_xlfn.IFS($F$1=$Q$1,INDEX($P$2:$P$100,MATCH(0,INDEX(COUNTIF($E$1:$E63,$P$2:$P$100)+(COUNTIF($P$2:$P$100,$P$2:$P$100)&lt;&gt;1),0,0),0)),$F$1=$S$1,INDEX($R$2:$R$100,MATCH(0,INDEX(COUNTIF($E$1:$E63,$R$2:$R$100)+(COUNTIF($R$2:$R$100,$R$2:$R$100)&lt;&gt;1),0,0),0)),$F$1=$U$1,INDEX($T$2:$T$100,MATCH(0,INDEX(COUNTIF($E$1:$E63,$T$2:$T$100)+(COUNTIF($T$2:$T$100,$T$2:$T$100)&lt;&gt;1),0,0),0)),$F$1=$W$1,INDEX($V$2:$V$100,MATCH(0,INDEX(COUNTIF($E$1:$E63,$V$2:$V$100)+(COUNTIF($V$2:$V$100,$V$2:$V$100)&lt;&gt;1),0,0),0)),$F$1=$Y$1,INDEX($X$2:$X$100,MATCH(0,INDEX(COUNTIF($E$1:$E63,$X$2:$X$100)+(COUNTIF($X$2:$X$100,$X$2:$X$100)&lt;&gt;1),0,0),0)),$F$1=$AA$1,INDEX($Z$2:$Z$100,MATCH(0,INDEX(COUNTIF($E$1:$E63,$Z$2:$Z$100)+(COUNTIF($Z$2:$Z$100,$Z$2:$Z$100)&lt;&gt;1),0,0),0)),TRUE,"")),$E$1="GENINTEGRATION 22 Attributes",INDEX($H$2:$H$100,MATCH(0,INDEX(COUNTIF($E$1:$E63,$H$2:$H$100)+(COUNTIF($H$2:$H$100,$H$2:$H$100)&lt;&gt;1),0,0),0)),TRUE,""),"")</f>
        <v/>
      </c>
      <c r="F64" s="213" t="str" cm="1">
        <f t="array" ref="F64">IFERROR(_xlfn.IFS($F$1=$Q$1,_xlfn.XLOOKUP($E64,$P$2:$P$100,Q$2:Q$100)&amp;"",$F$1=$S$1,_xlfn.XLOOKUP($E64,$R$2:$R$100,$S$2:$S$100)&amp;"",$F$1=$Y$1,_xlfn.XLOOKUP($E64,$X$2:$X$100,$Y$2:$Y$100)&amp;"",$F$1=$U$1,_xlfn.XLOOKUP($E64,$T$2:$T$100,$U$2:$U$100)&amp;"",$F$1=$W$1,_xlfn.XLOOKUP($E64,$V$2:$V$100,$W$2:$W$100)&amp;"",$F$1=$AA$1,_xlfn.XLOOKUP($E64,$Z$2:$Z$100,$AA$2:$AA$100)&amp;"",TRUE, ""),"")</f>
        <v/>
      </c>
      <c r="G64" s="215" t="str" cm="1">
        <f t="array" ref="G64">IFERROR(IF($F64&lt;&gt;"",_xlfn.IFS($F$1="LM7 31 ClPRODUCT4 ms","LM7",$F$1="LMS1 31 ClPRODUCT4 ms","CV",$F$1="LMS2 31 ClPRODUCT4 ms","CL",$F$1="LMS5 31 ClPRODUCT4 ms","JZ",$F$1="LMS8 31 ClPRODUCT4 ms","DL",$F$1="LMS6 31 ClPRODUCT4 ms","MD",TRUE, ""),IF(AND($E$1="GENINTEGRATION 22 Attributes",$E64&lt;&gt;""),"22","")),"")</f>
        <v/>
      </c>
      <c r="H64" s="21"/>
      <c r="I64" s="21"/>
      <c r="J64" s="229"/>
      <c r="K64" s="229"/>
      <c r="L64" s="229"/>
      <c r="M64" s="229"/>
      <c r="N64" s="229"/>
      <c r="O64" s="229"/>
      <c r="P64" s="230" t="str">
        <f t="shared" si="22"/>
        <v/>
      </c>
      <c r="Q64" s="222" t="str">
        <f t="shared" si="13"/>
        <v/>
      </c>
      <c r="R64" s="230" t="str">
        <f t="shared" si="14"/>
        <v/>
      </c>
      <c r="S64" s="222" t="str">
        <f t="shared" si="15"/>
        <v/>
      </c>
      <c r="T64" s="230" t="str">
        <f t="shared" si="16"/>
        <v/>
      </c>
      <c r="U64" s="222" t="str">
        <f t="shared" si="17"/>
        <v/>
      </c>
      <c r="V64" s="230" t="str">
        <f t="shared" si="18"/>
        <v/>
      </c>
      <c r="W64" s="222" t="str">
        <f t="shared" si="19"/>
        <v/>
      </c>
      <c r="X64" s="230" t="str">
        <f t="shared" si="20"/>
        <v/>
      </c>
      <c r="Y64" s="222" t="str">
        <f t="shared" si="21"/>
        <v/>
      </c>
      <c r="Z64" s="230" t="str">
        <f t="shared" si="10"/>
        <v/>
      </c>
      <c r="AA64" s="222" t="str">
        <f t="shared" si="11"/>
        <v/>
      </c>
    </row>
    <row r="65" spans="5:27" ht="20.100000000000001" customHeight="1" x14ac:dyDescent="0.55000000000000004">
      <c r="E65" s="217" t="str" cm="1">
        <f t="array" ref="E65">IFERROR(_xlfn.IFS($E$1="GENINTEGRATION 22 Parameters",(_xlfn.IFS($F$1=$Q$1,INDEX($P$2:$P$100,MATCH(0,INDEX(COUNTIF($E$1:$E64,$P$2:$P$100)+(COUNTIF($P$2:$P$100,$P$2:$P$100)&lt;&gt;1),0,0),0)),$F$1=$S$1,INDEX($R$2:$R$100,MATCH(0,INDEX(COUNTIF($E$1:$E64,$R$2:$R$100)+(COUNTIF($R$2:$R$100,$R$2:$R$100)&lt;&gt;1),0,0),0)),$F$1=$U$1,INDEX($T$2:$T$100,MATCH(0,INDEX(COUNTIF($E$1:$E64,$T$2:$T$100)+(COUNTIF($T$2:$T$100,$T$2:$T$100)&lt;&gt;1),0,0),0)),$F$1=$W$1,INDEX($V$2:$V$100,MATCH(0,INDEX(COUNTIF($E$1:$E64,$V$2:$V$100)+(COUNTIF($V$2:$V$100,$V$2:$V$100)&lt;&gt;1),0,0),0)),$F$1=$Y$1,INDEX($X$2:$X$100,MATCH(0,INDEX(COUNTIF($E$1:$E64,$X$2:$X$100)+(COUNTIF($X$2:$X$100,$X$2:$X$100)&lt;&gt;1),0,0),0)),$F$1=$AA$1,INDEX($Z$2:$Z$100,MATCH(0,INDEX(COUNTIF($E$1:$E64,$Z$2:$Z$100)+(COUNTIF($Z$2:$Z$100,$Z$2:$Z$100)&lt;&gt;1),0,0),0)),TRUE,"")),$E$1="GENINTEGRATION 22 Attributes",INDEX($H$2:$H$100,MATCH(0,INDEX(COUNTIF($E$1:$E64,$H$2:$H$100)+(COUNTIF($H$2:$H$100,$H$2:$H$100)&lt;&gt;1),0,0),0)),TRUE,""),"")</f>
        <v/>
      </c>
      <c r="F65" s="213" t="str" cm="1">
        <f t="array" ref="F65">IFERROR(_xlfn.IFS($F$1=$Q$1,_xlfn.XLOOKUP($E65,$P$2:$P$100,Q$2:Q$100)&amp;"",$F$1=$S$1,_xlfn.XLOOKUP($E65,$R$2:$R$100,$S$2:$S$100)&amp;"",$F$1=$Y$1,_xlfn.XLOOKUP($E65,$X$2:$X$100,$Y$2:$Y$100)&amp;"",$F$1=$U$1,_xlfn.XLOOKUP($E65,$T$2:$T$100,$U$2:$U$100)&amp;"",$F$1=$W$1,_xlfn.XLOOKUP($E65,$V$2:$V$100,$W$2:$W$100)&amp;"",$F$1=$AA$1,_xlfn.XLOOKUP($E65,$Z$2:$Z$100,$AA$2:$AA$100)&amp;"",TRUE, ""),"")</f>
        <v/>
      </c>
      <c r="G65" s="215" t="str" cm="1">
        <f t="array" ref="G65">IFERROR(IF($F65&lt;&gt;"",_xlfn.IFS($F$1="LM7 31 ClPRODUCT4 ms","LM7",$F$1="LMS1 31 ClPRODUCT4 ms","CV",$F$1="LMS2 31 ClPRODUCT4 ms","CL",$F$1="LMS5 31 ClPRODUCT4 ms","JZ",$F$1="LMS8 31 ClPRODUCT4 ms","DL",$F$1="LMS6 31 ClPRODUCT4 ms","MD",TRUE, ""),IF(AND($E$1="GENINTEGRATION 22 Attributes",$E65&lt;&gt;""),"22","")),"")</f>
        <v/>
      </c>
      <c r="H65" s="21"/>
      <c r="I65" s="21"/>
      <c r="J65" s="229"/>
      <c r="K65" s="229"/>
      <c r="L65" s="229"/>
      <c r="M65" s="229"/>
      <c r="N65" s="229"/>
      <c r="O65" s="229"/>
      <c r="P65" s="230" t="str">
        <f t="shared" si="22"/>
        <v/>
      </c>
      <c r="Q65" s="222" t="str">
        <f t="shared" si="13"/>
        <v/>
      </c>
      <c r="R65" s="230" t="str">
        <f t="shared" si="14"/>
        <v/>
      </c>
      <c r="S65" s="222" t="str">
        <f t="shared" si="15"/>
        <v/>
      </c>
      <c r="T65" s="230" t="str">
        <f t="shared" si="16"/>
        <v/>
      </c>
      <c r="U65" s="222" t="str">
        <f t="shared" si="17"/>
        <v/>
      </c>
      <c r="V65" s="230" t="str">
        <f t="shared" si="18"/>
        <v/>
      </c>
      <c r="W65" s="222" t="str">
        <f t="shared" si="19"/>
        <v/>
      </c>
      <c r="X65" s="230" t="str">
        <f t="shared" si="20"/>
        <v/>
      </c>
      <c r="Y65" s="222" t="str">
        <f t="shared" si="21"/>
        <v/>
      </c>
      <c r="Z65" s="230" t="str">
        <f t="shared" si="10"/>
        <v/>
      </c>
      <c r="AA65" s="222" t="str">
        <f t="shared" si="11"/>
        <v/>
      </c>
    </row>
    <row r="66" spans="5:27" ht="20.100000000000001" customHeight="1" x14ac:dyDescent="0.55000000000000004">
      <c r="E66" s="217" t="str" cm="1">
        <f t="array" ref="E66">IFERROR(_xlfn.IFS($E$1="GENINTEGRATION 22 Parameters",(_xlfn.IFS($F$1=$Q$1,INDEX($P$2:$P$100,MATCH(0,INDEX(COUNTIF($E$1:$E65,$P$2:$P$100)+(COUNTIF($P$2:$P$100,$P$2:$P$100)&lt;&gt;1),0,0),0)),$F$1=$S$1,INDEX($R$2:$R$100,MATCH(0,INDEX(COUNTIF($E$1:$E65,$R$2:$R$100)+(COUNTIF($R$2:$R$100,$R$2:$R$100)&lt;&gt;1),0,0),0)),$F$1=$U$1,INDEX($T$2:$T$100,MATCH(0,INDEX(COUNTIF($E$1:$E65,$T$2:$T$100)+(COUNTIF($T$2:$T$100,$T$2:$T$100)&lt;&gt;1),0,0),0)),$F$1=$W$1,INDEX($V$2:$V$100,MATCH(0,INDEX(COUNTIF($E$1:$E65,$V$2:$V$100)+(COUNTIF($V$2:$V$100,$V$2:$V$100)&lt;&gt;1),0,0),0)),$F$1=$Y$1,INDEX($X$2:$X$100,MATCH(0,INDEX(COUNTIF($E$1:$E65,$X$2:$X$100)+(COUNTIF($X$2:$X$100,$X$2:$X$100)&lt;&gt;1),0,0),0)),$F$1=$AA$1,INDEX($Z$2:$Z$100,MATCH(0,INDEX(COUNTIF($E$1:$E65,$Z$2:$Z$100)+(COUNTIF($Z$2:$Z$100,$Z$2:$Z$100)&lt;&gt;1),0,0),0)),TRUE,"")),$E$1="GENINTEGRATION 22 Attributes",INDEX($H$2:$H$100,MATCH(0,INDEX(COUNTIF($E$1:$E65,$H$2:$H$100)+(COUNTIF($H$2:$H$100,$H$2:$H$100)&lt;&gt;1),0,0),0)),TRUE,""),"")</f>
        <v/>
      </c>
      <c r="F66" s="213" t="str" cm="1">
        <f t="array" ref="F66">IFERROR(_xlfn.IFS($F$1=$Q$1,_xlfn.XLOOKUP($E66,$P$2:$P$100,Q$2:Q$100)&amp;"",$F$1=$S$1,_xlfn.XLOOKUP($E66,$R$2:$R$100,$S$2:$S$100)&amp;"",$F$1=$Y$1,_xlfn.XLOOKUP($E66,$X$2:$X$100,$Y$2:$Y$100)&amp;"",$F$1=$U$1,_xlfn.XLOOKUP($E66,$T$2:$T$100,$U$2:$U$100)&amp;"",$F$1=$W$1,_xlfn.XLOOKUP($E66,$V$2:$V$100,$W$2:$W$100)&amp;"",$F$1=$AA$1,_xlfn.XLOOKUP($E66,$Z$2:$Z$100,$AA$2:$AA$100)&amp;"",TRUE, ""),"")</f>
        <v/>
      </c>
      <c r="G66" s="215" t="str" cm="1">
        <f t="array" ref="G66">IFERROR(IF($F66&lt;&gt;"",_xlfn.IFS($F$1="LM7 31 ClPRODUCT4 ms","LM7",$F$1="LMS1 31 ClPRODUCT4 ms","CV",$F$1="LMS2 31 ClPRODUCT4 ms","CL",$F$1="LMS5 31 ClPRODUCT4 ms","JZ",$F$1="LMS8 31 ClPRODUCT4 ms","DL",$F$1="LMS6 31 ClPRODUCT4 ms","MD",TRUE, ""),IF(AND($E$1="GENINTEGRATION 22 Attributes",$E66&lt;&gt;""),"22","")),"")</f>
        <v/>
      </c>
      <c r="H66" s="21"/>
      <c r="I66" s="21"/>
      <c r="J66" s="229"/>
      <c r="K66" s="229"/>
      <c r="L66" s="229"/>
      <c r="M66" s="229"/>
      <c r="N66" s="229"/>
      <c r="O66" s="229"/>
      <c r="P66" s="230" t="str">
        <f t="shared" si="22"/>
        <v/>
      </c>
      <c r="Q66" s="222" t="str">
        <f t="shared" ref="Q66:Q100" si="23">IF($J66="yes",$I66,"")</f>
        <v/>
      </c>
      <c r="R66" s="230" t="str">
        <f t="shared" ref="R66:R97" si="24">IF(AND($H66&lt;&gt;"",S66&lt;&gt;""),$H66,"")</f>
        <v/>
      </c>
      <c r="S66" s="222" t="str">
        <f t="shared" ref="S66:S100" si="25">IF($K66="yes",$I66,"")</f>
        <v/>
      </c>
      <c r="T66" s="230" t="str">
        <f t="shared" ref="T66:T97" si="26">IF(AND($H66&lt;&gt;"",U66&lt;&gt;""),$H66,"")</f>
        <v/>
      </c>
      <c r="U66" s="222" t="str">
        <f t="shared" ref="U66:U100" si="27">IF($L66="yes",$I66,"")</f>
        <v/>
      </c>
      <c r="V66" s="230" t="str">
        <f t="shared" ref="V66:V97" si="28">IF(AND($H66&lt;&gt;"",W66&lt;&gt;""),$H66,"")</f>
        <v/>
      </c>
      <c r="W66" s="222" t="str">
        <f t="shared" ref="W66:W100" si="29">IF($M66="yes",$I66,"")</f>
        <v/>
      </c>
      <c r="X66" s="230" t="str">
        <f t="shared" ref="X66:X97" si="30">IF(AND($H66&lt;&gt;"",Y66&lt;&gt;""),$H66,"")</f>
        <v/>
      </c>
      <c r="Y66" s="222" t="str">
        <f t="shared" ref="Y66:Y100" si="31">IF($N66="yes",$I66,"")</f>
        <v/>
      </c>
      <c r="Z66" s="230" t="str">
        <f t="shared" ref="Z66:Z100" si="32">IF(AND($H66&lt;&gt;"",AA66&lt;&gt;""),$H66,"")</f>
        <v/>
      </c>
      <c r="AA66" s="222" t="str">
        <f t="shared" ref="AA66:AA100" si="33">IF($L66="yes",$I66,"")</f>
        <v/>
      </c>
    </row>
    <row r="67" spans="5:27" ht="20.100000000000001" customHeight="1" x14ac:dyDescent="0.55000000000000004">
      <c r="E67" s="217" t="str" cm="1">
        <f t="array" ref="E67">IFERROR(_xlfn.IFS($E$1="GENINTEGRATION 22 Parameters",(_xlfn.IFS($F$1=$Q$1,INDEX($P$2:$P$100,MATCH(0,INDEX(COUNTIF($E$1:$E66,$P$2:$P$100)+(COUNTIF($P$2:$P$100,$P$2:$P$100)&lt;&gt;1),0,0),0)),$F$1=$S$1,INDEX($R$2:$R$100,MATCH(0,INDEX(COUNTIF($E$1:$E66,$R$2:$R$100)+(COUNTIF($R$2:$R$100,$R$2:$R$100)&lt;&gt;1),0,0),0)),$F$1=$U$1,INDEX($T$2:$T$100,MATCH(0,INDEX(COUNTIF($E$1:$E66,$T$2:$T$100)+(COUNTIF($T$2:$T$100,$T$2:$T$100)&lt;&gt;1),0,0),0)),$F$1=$W$1,INDEX($V$2:$V$100,MATCH(0,INDEX(COUNTIF($E$1:$E66,$V$2:$V$100)+(COUNTIF($V$2:$V$100,$V$2:$V$100)&lt;&gt;1),0,0),0)),$F$1=$Y$1,INDEX($X$2:$X$100,MATCH(0,INDEX(COUNTIF($E$1:$E66,$X$2:$X$100)+(COUNTIF($X$2:$X$100,$X$2:$X$100)&lt;&gt;1),0,0),0)),$F$1=$AA$1,INDEX($Z$2:$Z$100,MATCH(0,INDEX(COUNTIF($E$1:$E66,$Z$2:$Z$100)+(COUNTIF($Z$2:$Z$100,$Z$2:$Z$100)&lt;&gt;1),0,0),0)),TRUE,"")),$E$1="GENINTEGRATION 22 Attributes",INDEX($H$2:$H$100,MATCH(0,INDEX(COUNTIF($E$1:$E66,$H$2:$H$100)+(COUNTIF($H$2:$H$100,$H$2:$H$100)&lt;&gt;1),0,0),0)),TRUE,""),"")</f>
        <v/>
      </c>
      <c r="F67" s="213" t="str" cm="1">
        <f t="array" ref="F67">IFERROR(_xlfn.IFS($F$1=$Q$1,_xlfn.XLOOKUP($E67,$P$2:$P$100,Q$2:Q$100)&amp;"",$F$1=$S$1,_xlfn.XLOOKUP($E67,$R$2:$R$100,$S$2:$S$100)&amp;"",$F$1=$Y$1,_xlfn.XLOOKUP($E67,$X$2:$X$100,$Y$2:$Y$100)&amp;"",$F$1=$U$1,_xlfn.XLOOKUP($E67,$T$2:$T$100,$U$2:$U$100)&amp;"",$F$1=$W$1,_xlfn.XLOOKUP($E67,$V$2:$V$100,$W$2:$W$100)&amp;"",$F$1=$AA$1,_xlfn.XLOOKUP($E67,$Z$2:$Z$100,$AA$2:$AA$100)&amp;"",TRUE, ""),"")</f>
        <v/>
      </c>
      <c r="G67" s="215" t="str" cm="1">
        <f t="array" ref="G67">IFERROR(IF($F67&lt;&gt;"",_xlfn.IFS($F$1="LM7 31 ClPRODUCT4 ms","LM7",$F$1="LMS1 31 ClPRODUCT4 ms","CV",$F$1="LMS2 31 ClPRODUCT4 ms","CL",$F$1="LMS5 31 ClPRODUCT4 ms","JZ",$F$1="LMS8 31 ClPRODUCT4 ms","DL",$F$1="LMS6 31 ClPRODUCT4 ms","MD",TRUE, ""),IF(AND($E$1="GENINTEGRATION 22 Attributes",$E67&lt;&gt;""),"22","")),"")</f>
        <v/>
      </c>
      <c r="H67" s="21"/>
      <c r="I67" s="21"/>
      <c r="J67" s="229"/>
      <c r="K67" s="229"/>
      <c r="L67" s="229"/>
      <c r="M67" s="229"/>
      <c r="N67" s="229"/>
      <c r="O67" s="229"/>
      <c r="P67" s="230" t="str">
        <f t="shared" si="22"/>
        <v/>
      </c>
      <c r="Q67" s="222" t="str">
        <f t="shared" si="23"/>
        <v/>
      </c>
      <c r="R67" s="230" t="str">
        <f t="shared" si="24"/>
        <v/>
      </c>
      <c r="S67" s="222" t="str">
        <f t="shared" si="25"/>
        <v/>
      </c>
      <c r="T67" s="230" t="str">
        <f t="shared" si="26"/>
        <v/>
      </c>
      <c r="U67" s="222" t="str">
        <f t="shared" si="27"/>
        <v/>
      </c>
      <c r="V67" s="230" t="str">
        <f t="shared" si="28"/>
        <v/>
      </c>
      <c r="W67" s="222" t="str">
        <f t="shared" si="29"/>
        <v/>
      </c>
      <c r="X67" s="230" t="str">
        <f t="shared" si="30"/>
        <v/>
      </c>
      <c r="Y67" s="222" t="str">
        <f t="shared" si="31"/>
        <v/>
      </c>
      <c r="Z67" s="230" t="str">
        <f t="shared" si="32"/>
        <v/>
      </c>
      <c r="AA67" s="222" t="str">
        <f t="shared" si="33"/>
        <v/>
      </c>
    </row>
    <row r="68" spans="5:27" ht="20.100000000000001" customHeight="1" x14ac:dyDescent="0.55000000000000004">
      <c r="E68" s="217" t="str" cm="1">
        <f t="array" ref="E68">IFERROR(_xlfn.IFS($E$1="GENINTEGRATION 22 Parameters",(_xlfn.IFS($F$1=$Q$1,INDEX($P$2:$P$100,MATCH(0,INDEX(COUNTIF($E$1:$E67,$P$2:$P$100)+(COUNTIF($P$2:$P$100,$P$2:$P$100)&lt;&gt;1),0,0),0)),$F$1=$S$1,INDEX($R$2:$R$100,MATCH(0,INDEX(COUNTIF($E$1:$E67,$R$2:$R$100)+(COUNTIF($R$2:$R$100,$R$2:$R$100)&lt;&gt;1),0,0),0)),$F$1=$U$1,INDEX($T$2:$T$100,MATCH(0,INDEX(COUNTIF($E$1:$E67,$T$2:$T$100)+(COUNTIF($T$2:$T$100,$T$2:$T$100)&lt;&gt;1),0,0),0)),$F$1=$W$1,INDEX($V$2:$V$100,MATCH(0,INDEX(COUNTIF($E$1:$E67,$V$2:$V$100)+(COUNTIF($V$2:$V$100,$V$2:$V$100)&lt;&gt;1),0,0),0)),$F$1=$Y$1,INDEX($X$2:$X$100,MATCH(0,INDEX(COUNTIF($E$1:$E67,$X$2:$X$100)+(COUNTIF($X$2:$X$100,$X$2:$X$100)&lt;&gt;1),0,0),0)),$F$1=$AA$1,INDEX($Z$2:$Z$100,MATCH(0,INDEX(COUNTIF($E$1:$E67,$Z$2:$Z$100)+(COUNTIF($Z$2:$Z$100,$Z$2:$Z$100)&lt;&gt;1),0,0),0)),TRUE,"")),$E$1="GENINTEGRATION 22 Attributes",INDEX($H$2:$H$100,MATCH(0,INDEX(COUNTIF($E$1:$E67,$H$2:$H$100)+(COUNTIF($H$2:$H$100,$H$2:$H$100)&lt;&gt;1),0,0),0)),TRUE,""),"")</f>
        <v/>
      </c>
      <c r="F68" s="213" t="str" cm="1">
        <f t="array" ref="F68">IFERROR(_xlfn.IFS($F$1=$Q$1,_xlfn.XLOOKUP($E68,$P$2:$P$100,Q$2:Q$100)&amp;"",$F$1=$S$1,_xlfn.XLOOKUP($E68,$R$2:$R$100,$S$2:$S$100)&amp;"",$F$1=$Y$1,_xlfn.XLOOKUP($E68,$X$2:$X$100,$Y$2:$Y$100)&amp;"",$F$1=$U$1,_xlfn.XLOOKUP($E68,$T$2:$T$100,$U$2:$U$100)&amp;"",$F$1=$W$1,_xlfn.XLOOKUP($E68,$V$2:$V$100,$W$2:$W$100)&amp;"",$F$1=$AA$1,_xlfn.XLOOKUP($E68,$Z$2:$Z$100,$AA$2:$AA$100)&amp;"",TRUE, ""),"")</f>
        <v/>
      </c>
      <c r="G68" s="215" t="str" cm="1">
        <f t="array" ref="G68">IFERROR(IF($F68&lt;&gt;"",_xlfn.IFS($F$1="LM7 31 ClPRODUCT4 ms","LM7",$F$1="LMS1 31 ClPRODUCT4 ms","CV",$F$1="LMS2 31 ClPRODUCT4 ms","CL",$F$1="LMS5 31 ClPRODUCT4 ms","JZ",$F$1="LMS8 31 ClPRODUCT4 ms","DL",$F$1="LMS6 31 ClPRODUCT4 ms","MD",TRUE, ""),IF(AND($E$1="GENINTEGRATION 22 Attributes",$E68&lt;&gt;""),"22","")),"")</f>
        <v/>
      </c>
      <c r="H68" s="21"/>
      <c r="I68" s="21"/>
      <c r="J68" s="229"/>
      <c r="K68" s="229"/>
      <c r="L68" s="229"/>
      <c r="M68" s="229"/>
      <c r="N68" s="229"/>
      <c r="O68" s="229"/>
      <c r="P68" s="230" t="str">
        <f t="shared" si="22"/>
        <v/>
      </c>
      <c r="Q68" s="222" t="str">
        <f t="shared" si="23"/>
        <v/>
      </c>
      <c r="R68" s="230" t="str">
        <f t="shared" si="24"/>
        <v/>
      </c>
      <c r="S68" s="222" t="str">
        <f t="shared" si="25"/>
        <v/>
      </c>
      <c r="T68" s="230" t="str">
        <f t="shared" si="26"/>
        <v/>
      </c>
      <c r="U68" s="222" t="str">
        <f t="shared" si="27"/>
        <v/>
      </c>
      <c r="V68" s="230" t="str">
        <f t="shared" si="28"/>
        <v/>
      </c>
      <c r="W68" s="222" t="str">
        <f t="shared" si="29"/>
        <v/>
      </c>
      <c r="X68" s="230" t="str">
        <f t="shared" si="30"/>
        <v/>
      </c>
      <c r="Y68" s="222" t="str">
        <f t="shared" si="31"/>
        <v/>
      </c>
      <c r="Z68" s="230" t="str">
        <f t="shared" si="32"/>
        <v/>
      </c>
      <c r="AA68" s="222" t="str">
        <f t="shared" si="33"/>
        <v/>
      </c>
    </row>
    <row r="69" spans="5:27" ht="20.100000000000001" customHeight="1" x14ac:dyDescent="0.55000000000000004">
      <c r="E69" s="217" t="str" cm="1">
        <f t="array" ref="E69">IFERROR(_xlfn.IFS($E$1="GENINTEGRATION 22 Parameters",(_xlfn.IFS($F$1=$Q$1,INDEX($P$2:$P$100,MATCH(0,INDEX(COUNTIF($E$1:$E68,$P$2:$P$100)+(COUNTIF($P$2:$P$100,$P$2:$P$100)&lt;&gt;1),0,0),0)),$F$1=$S$1,INDEX($R$2:$R$100,MATCH(0,INDEX(COUNTIF($E$1:$E68,$R$2:$R$100)+(COUNTIF($R$2:$R$100,$R$2:$R$100)&lt;&gt;1),0,0),0)),$F$1=$U$1,INDEX($T$2:$T$100,MATCH(0,INDEX(COUNTIF($E$1:$E68,$T$2:$T$100)+(COUNTIF($T$2:$T$100,$T$2:$T$100)&lt;&gt;1),0,0),0)),$F$1=$W$1,INDEX($V$2:$V$100,MATCH(0,INDEX(COUNTIF($E$1:$E68,$V$2:$V$100)+(COUNTIF($V$2:$V$100,$V$2:$V$100)&lt;&gt;1),0,0),0)),$F$1=$Y$1,INDEX($X$2:$X$100,MATCH(0,INDEX(COUNTIF($E$1:$E68,$X$2:$X$100)+(COUNTIF($X$2:$X$100,$X$2:$X$100)&lt;&gt;1),0,0),0)),$F$1=$AA$1,INDEX($Z$2:$Z$100,MATCH(0,INDEX(COUNTIF($E$1:$E68,$Z$2:$Z$100)+(COUNTIF($Z$2:$Z$100,$Z$2:$Z$100)&lt;&gt;1),0,0),0)),TRUE,"")),$E$1="GENINTEGRATION 22 Attributes",INDEX($H$2:$H$100,MATCH(0,INDEX(COUNTIF($E$1:$E68,$H$2:$H$100)+(COUNTIF($H$2:$H$100,$H$2:$H$100)&lt;&gt;1),0,0),0)),TRUE,""),"")</f>
        <v/>
      </c>
      <c r="F69" s="213" t="str" cm="1">
        <f t="array" ref="F69">IFERROR(_xlfn.IFS($F$1=$Q$1,_xlfn.XLOOKUP($E69,$P$2:$P$100,Q$2:Q$100)&amp;"",$F$1=$S$1,_xlfn.XLOOKUP($E69,$R$2:$R$100,$S$2:$S$100)&amp;"",$F$1=$Y$1,_xlfn.XLOOKUP($E69,$X$2:$X$100,$Y$2:$Y$100)&amp;"",$F$1=$U$1,_xlfn.XLOOKUP($E69,$T$2:$T$100,$U$2:$U$100)&amp;"",$F$1=$W$1,_xlfn.XLOOKUP($E69,$V$2:$V$100,$W$2:$W$100)&amp;"",$F$1=$AA$1,_xlfn.XLOOKUP($E69,$Z$2:$Z$100,$AA$2:$AA$100)&amp;"",TRUE, ""),"")</f>
        <v/>
      </c>
      <c r="G69" s="215" t="str" cm="1">
        <f t="array" ref="G69">IFERROR(IF($F69&lt;&gt;"",_xlfn.IFS($F$1="LM7 31 ClPRODUCT4 ms","LM7",$F$1="LMS1 31 ClPRODUCT4 ms","CV",$F$1="LMS2 31 ClPRODUCT4 ms","CL",$F$1="LMS5 31 ClPRODUCT4 ms","JZ",$F$1="LMS8 31 ClPRODUCT4 ms","DL",$F$1="LMS6 31 ClPRODUCT4 ms","MD",TRUE, ""),IF(AND($E$1="GENINTEGRATION 22 Attributes",$E69&lt;&gt;""),"22","")),"")</f>
        <v/>
      </c>
      <c r="H69" s="21"/>
      <c r="I69" s="21"/>
      <c r="J69" s="229"/>
      <c r="K69" s="229"/>
      <c r="L69" s="229"/>
      <c r="M69" s="229"/>
      <c r="N69" s="229"/>
      <c r="O69" s="229"/>
      <c r="P69" s="230" t="str">
        <f t="shared" si="22"/>
        <v/>
      </c>
      <c r="Q69" s="222" t="str">
        <f t="shared" si="23"/>
        <v/>
      </c>
      <c r="R69" s="230" t="str">
        <f t="shared" si="24"/>
        <v/>
      </c>
      <c r="S69" s="222" t="str">
        <f t="shared" si="25"/>
        <v/>
      </c>
      <c r="T69" s="230" t="str">
        <f t="shared" si="26"/>
        <v/>
      </c>
      <c r="U69" s="222" t="str">
        <f t="shared" si="27"/>
        <v/>
      </c>
      <c r="V69" s="230" t="str">
        <f t="shared" si="28"/>
        <v/>
      </c>
      <c r="W69" s="222" t="str">
        <f t="shared" si="29"/>
        <v/>
      </c>
      <c r="X69" s="230" t="str">
        <f t="shared" si="30"/>
        <v/>
      </c>
      <c r="Y69" s="222" t="str">
        <f t="shared" si="31"/>
        <v/>
      </c>
      <c r="Z69" s="230" t="str">
        <f t="shared" si="32"/>
        <v/>
      </c>
      <c r="AA69" s="222" t="str">
        <f t="shared" si="33"/>
        <v/>
      </c>
    </row>
    <row r="70" spans="5:27" ht="20.100000000000001" customHeight="1" x14ac:dyDescent="0.55000000000000004">
      <c r="E70" s="217" t="str" cm="1">
        <f t="array" ref="E70">IFERROR(_xlfn.IFS($E$1="GENINTEGRATION 22 Parameters",(_xlfn.IFS($F$1=$Q$1,INDEX($P$2:$P$100,MATCH(0,INDEX(COUNTIF($E$1:$E69,$P$2:$P$100)+(COUNTIF($P$2:$P$100,$P$2:$P$100)&lt;&gt;1),0,0),0)),$F$1=$S$1,INDEX($R$2:$R$100,MATCH(0,INDEX(COUNTIF($E$1:$E69,$R$2:$R$100)+(COUNTIF($R$2:$R$100,$R$2:$R$100)&lt;&gt;1),0,0),0)),$F$1=$U$1,INDEX($T$2:$T$100,MATCH(0,INDEX(COUNTIF($E$1:$E69,$T$2:$T$100)+(COUNTIF($T$2:$T$100,$T$2:$T$100)&lt;&gt;1),0,0),0)),$F$1=$W$1,INDEX($V$2:$V$100,MATCH(0,INDEX(COUNTIF($E$1:$E69,$V$2:$V$100)+(COUNTIF($V$2:$V$100,$V$2:$V$100)&lt;&gt;1),0,0),0)),$F$1=$Y$1,INDEX($X$2:$X$100,MATCH(0,INDEX(COUNTIF($E$1:$E69,$X$2:$X$100)+(COUNTIF($X$2:$X$100,$X$2:$X$100)&lt;&gt;1),0,0),0)),$F$1=$AA$1,INDEX($Z$2:$Z$100,MATCH(0,INDEX(COUNTIF($E$1:$E69,$Z$2:$Z$100)+(COUNTIF($Z$2:$Z$100,$Z$2:$Z$100)&lt;&gt;1),0,0),0)),TRUE,"")),$E$1="GENINTEGRATION 22 Attributes",INDEX($H$2:$H$100,MATCH(0,INDEX(COUNTIF($E$1:$E69,$H$2:$H$100)+(COUNTIF($H$2:$H$100,$H$2:$H$100)&lt;&gt;1),0,0),0)),TRUE,""),"")</f>
        <v/>
      </c>
      <c r="F70" s="213" t="str" cm="1">
        <f t="array" ref="F70">IFERROR(_xlfn.IFS($F$1=$Q$1,_xlfn.XLOOKUP($E70,$P$2:$P$100,Q$2:Q$100)&amp;"",$F$1=$S$1,_xlfn.XLOOKUP($E70,$R$2:$R$100,$S$2:$S$100)&amp;"",$F$1=$Y$1,_xlfn.XLOOKUP($E70,$X$2:$X$100,$Y$2:$Y$100)&amp;"",$F$1=$U$1,_xlfn.XLOOKUP($E70,$T$2:$T$100,$U$2:$U$100)&amp;"",$F$1=$W$1,_xlfn.XLOOKUP($E70,$V$2:$V$100,$W$2:$W$100)&amp;"",$F$1=$AA$1,_xlfn.XLOOKUP($E70,$Z$2:$Z$100,$AA$2:$AA$100)&amp;"",TRUE, ""),"")</f>
        <v/>
      </c>
      <c r="G70" s="215" t="str" cm="1">
        <f t="array" ref="G70">IFERROR(IF($F70&lt;&gt;"",_xlfn.IFS($F$1="LM7 31 ClPRODUCT4 ms","LM7",$F$1="LMS1 31 ClPRODUCT4 ms","CV",$F$1="LMS2 31 ClPRODUCT4 ms","CL",$F$1="LMS5 31 ClPRODUCT4 ms","JZ",$F$1="LMS8 31 ClPRODUCT4 ms","DL",$F$1="LMS6 31 ClPRODUCT4 ms","MD",TRUE, ""),IF(AND($E$1="GENINTEGRATION 22 Attributes",$E70&lt;&gt;""),"22","")),"")</f>
        <v/>
      </c>
      <c r="H70" s="21"/>
      <c r="I70" s="21"/>
      <c r="J70" s="229"/>
      <c r="K70" s="229"/>
      <c r="L70" s="229"/>
      <c r="M70" s="229"/>
      <c r="N70" s="229"/>
      <c r="O70" s="229"/>
      <c r="P70" s="230" t="str">
        <f t="shared" si="22"/>
        <v/>
      </c>
      <c r="Q70" s="222" t="str">
        <f t="shared" si="23"/>
        <v/>
      </c>
      <c r="R70" s="230" t="str">
        <f t="shared" si="24"/>
        <v/>
      </c>
      <c r="S70" s="222" t="str">
        <f t="shared" si="25"/>
        <v/>
      </c>
      <c r="T70" s="230" t="str">
        <f t="shared" si="26"/>
        <v/>
      </c>
      <c r="U70" s="222" t="str">
        <f t="shared" si="27"/>
        <v/>
      </c>
      <c r="V70" s="230" t="str">
        <f t="shared" si="28"/>
        <v/>
      </c>
      <c r="W70" s="222" t="str">
        <f t="shared" si="29"/>
        <v/>
      </c>
      <c r="X70" s="230" t="str">
        <f t="shared" si="30"/>
        <v/>
      </c>
      <c r="Y70" s="222" t="str">
        <f t="shared" si="31"/>
        <v/>
      </c>
      <c r="Z70" s="230" t="str">
        <f t="shared" si="32"/>
        <v/>
      </c>
      <c r="AA70" s="222" t="str">
        <f t="shared" si="33"/>
        <v/>
      </c>
    </row>
    <row r="71" spans="5:27" ht="20.100000000000001" customHeight="1" x14ac:dyDescent="0.55000000000000004">
      <c r="E71" s="217" t="str" cm="1">
        <f t="array" ref="E71">IFERROR(_xlfn.IFS($E$1="GENINTEGRATION 22 Parameters",(_xlfn.IFS($F$1=$Q$1,INDEX($P$2:$P$100,MATCH(0,INDEX(COUNTIF($E$1:$E70,$P$2:$P$100)+(COUNTIF($P$2:$P$100,$P$2:$P$100)&lt;&gt;1),0,0),0)),$F$1=$S$1,INDEX($R$2:$R$100,MATCH(0,INDEX(COUNTIF($E$1:$E70,$R$2:$R$100)+(COUNTIF($R$2:$R$100,$R$2:$R$100)&lt;&gt;1),0,0),0)),$F$1=$U$1,INDEX($T$2:$T$100,MATCH(0,INDEX(COUNTIF($E$1:$E70,$T$2:$T$100)+(COUNTIF($T$2:$T$100,$T$2:$T$100)&lt;&gt;1),0,0),0)),$F$1=$W$1,INDEX($V$2:$V$100,MATCH(0,INDEX(COUNTIF($E$1:$E70,$V$2:$V$100)+(COUNTIF($V$2:$V$100,$V$2:$V$100)&lt;&gt;1),0,0),0)),$F$1=$Y$1,INDEX($X$2:$X$100,MATCH(0,INDEX(COUNTIF($E$1:$E70,$X$2:$X$100)+(COUNTIF($X$2:$X$100,$X$2:$X$100)&lt;&gt;1),0,0),0)),$F$1=$AA$1,INDEX($Z$2:$Z$100,MATCH(0,INDEX(COUNTIF($E$1:$E70,$Z$2:$Z$100)+(COUNTIF($Z$2:$Z$100,$Z$2:$Z$100)&lt;&gt;1),0,0),0)),TRUE,"")),$E$1="GENINTEGRATION 22 Attributes",INDEX($H$2:$H$100,MATCH(0,INDEX(COUNTIF($E$1:$E70,$H$2:$H$100)+(COUNTIF($H$2:$H$100,$H$2:$H$100)&lt;&gt;1),0,0),0)),TRUE,""),"")</f>
        <v/>
      </c>
      <c r="F71" s="213" t="str" cm="1">
        <f t="array" ref="F71">IFERROR(_xlfn.IFS($F$1=$Q$1,_xlfn.XLOOKUP($E71,$P$2:$P$100,Q$2:Q$100)&amp;"",$F$1=$S$1,_xlfn.XLOOKUP($E71,$R$2:$R$100,$S$2:$S$100)&amp;"",$F$1=$Y$1,_xlfn.XLOOKUP($E71,$X$2:$X$100,$Y$2:$Y$100)&amp;"",$F$1=$U$1,_xlfn.XLOOKUP($E71,$T$2:$T$100,$U$2:$U$100)&amp;"",$F$1=$W$1,_xlfn.XLOOKUP($E71,$V$2:$V$100,$W$2:$W$100)&amp;"",$F$1=$AA$1,_xlfn.XLOOKUP($E71,$Z$2:$Z$100,$AA$2:$AA$100)&amp;"",TRUE, ""),"")</f>
        <v/>
      </c>
      <c r="G71" s="215" t="str" cm="1">
        <f t="array" ref="G71">IFERROR(IF($F71&lt;&gt;"",_xlfn.IFS($F$1="LM7 31 ClPRODUCT4 ms","LM7",$F$1="LMS1 31 ClPRODUCT4 ms","CV",$F$1="LMS2 31 ClPRODUCT4 ms","CL",$F$1="LMS5 31 ClPRODUCT4 ms","JZ",$F$1="LMS8 31 ClPRODUCT4 ms","DL",$F$1="LMS6 31 ClPRODUCT4 ms","MD",TRUE, ""),IF(AND($E$1="GENINTEGRATION 22 Attributes",$E71&lt;&gt;""),"22","")),"")</f>
        <v/>
      </c>
      <c r="H71" s="21"/>
      <c r="I71" s="21"/>
      <c r="J71" s="229"/>
      <c r="K71" s="229"/>
      <c r="L71" s="229"/>
      <c r="M71" s="229"/>
      <c r="N71" s="229"/>
      <c r="O71" s="229"/>
      <c r="P71" s="230" t="str">
        <f t="shared" si="22"/>
        <v/>
      </c>
      <c r="Q71" s="222" t="str">
        <f t="shared" si="23"/>
        <v/>
      </c>
      <c r="R71" s="230" t="str">
        <f t="shared" si="24"/>
        <v/>
      </c>
      <c r="S71" s="222" t="str">
        <f t="shared" si="25"/>
        <v/>
      </c>
      <c r="T71" s="230" t="str">
        <f t="shared" si="26"/>
        <v/>
      </c>
      <c r="U71" s="222" t="str">
        <f t="shared" si="27"/>
        <v/>
      </c>
      <c r="V71" s="230" t="str">
        <f t="shared" si="28"/>
        <v/>
      </c>
      <c r="W71" s="222" t="str">
        <f t="shared" si="29"/>
        <v/>
      </c>
      <c r="X71" s="230" t="str">
        <f t="shared" si="30"/>
        <v/>
      </c>
      <c r="Y71" s="222" t="str">
        <f t="shared" si="31"/>
        <v/>
      </c>
      <c r="Z71" s="230" t="str">
        <f t="shared" si="32"/>
        <v/>
      </c>
      <c r="AA71" s="222" t="str">
        <f t="shared" si="33"/>
        <v/>
      </c>
    </row>
    <row r="72" spans="5:27" ht="20.100000000000001" customHeight="1" x14ac:dyDescent="0.55000000000000004">
      <c r="E72" s="217" t="str" cm="1">
        <f t="array" ref="E72">IFERROR(_xlfn.IFS($E$1="GENINTEGRATION 22 Parameters",(_xlfn.IFS($F$1=$Q$1,INDEX($P$2:$P$100,MATCH(0,INDEX(COUNTIF($E$1:$E71,$P$2:$P$100)+(COUNTIF($P$2:$P$100,$P$2:$P$100)&lt;&gt;1),0,0),0)),$F$1=$S$1,INDEX($R$2:$R$100,MATCH(0,INDEX(COUNTIF($E$1:$E71,$R$2:$R$100)+(COUNTIF($R$2:$R$100,$R$2:$R$100)&lt;&gt;1),0,0),0)),$F$1=$U$1,INDEX($T$2:$T$100,MATCH(0,INDEX(COUNTIF($E$1:$E71,$T$2:$T$100)+(COUNTIF($T$2:$T$100,$T$2:$T$100)&lt;&gt;1),0,0),0)),$F$1=$W$1,INDEX($V$2:$V$100,MATCH(0,INDEX(COUNTIF($E$1:$E71,$V$2:$V$100)+(COUNTIF($V$2:$V$100,$V$2:$V$100)&lt;&gt;1),0,0),0)),$F$1=$Y$1,INDEX($X$2:$X$100,MATCH(0,INDEX(COUNTIF($E$1:$E71,$X$2:$X$100)+(COUNTIF($X$2:$X$100,$X$2:$X$100)&lt;&gt;1),0,0),0)),$F$1=$AA$1,INDEX($Z$2:$Z$100,MATCH(0,INDEX(COUNTIF($E$1:$E71,$Z$2:$Z$100)+(COUNTIF($Z$2:$Z$100,$Z$2:$Z$100)&lt;&gt;1),0,0),0)),TRUE,"")),$E$1="GENINTEGRATION 22 Attributes",INDEX($H$2:$H$100,MATCH(0,INDEX(COUNTIF($E$1:$E71,$H$2:$H$100)+(COUNTIF($H$2:$H$100,$H$2:$H$100)&lt;&gt;1),0,0),0)),TRUE,""),"")</f>
        <v/>
      </c>
      <c r="F72" s="213" t="str" cm="1">
        <f t="array" ref="F72">IFERROR(_xlfn.IFS($F$1=$Q$1,_xlfn.XLOOKUP($E72,$P$2:$P$100,Q$2:Q$100)&amp;"",$F$1=$S$1,_xlfn.XLOOKUP($E72,$R$2:$R$100,$S$2:$S$100)&amp;"",$F$1=$Y$1,_xlfn.XLOOKUP($E72,$X$2:$X$100,$Y$2:$Y$100)&amp;"",$F$1=$U$1,_xlfn.XLOOKUP($E72,$T$2:$T$100,$U$2:$U$100)&amp;"",$F$1=$W$1,_xlfn.XLOOKUP($E72,$V$2:$V$100,$W$2:$W$100)&amp;"",$F$1=$AA$1,_xlfn.XLOOKUP($E72,$Z$2:$Z$100,$AA$2:$AA$100)&amp;"",TRUE, ""),"")</f>
        <v/>
      </c>
      <c r="G72" s="215" t="str" cm="1">
        <f t="array" ref="G72">IFERROR(IF($F72&lt;&gt;"",_xlfn.IFS($F$1="LM7 31 ClPRODUCT4 ms","LM7",$F$1="LMS1 31 ClPRODUCT4 ms","CV",$F$1="LMS2 31 ClPRODUCT4 ms","CL",$F$1="LMS5 31 ClPRODUCT4 ms","JZ",$F$1="LMS8 31 ClPRODUCT4 ms","DL",$F$1="LMS6 31 ClPRODUCT4 ms","MD",TRUE, ""),IF(AND($E$1="GENINTEGRATION 22 Attributes",$E72&lt;&gt;""),"22","")),"")</f>
        <v/>
      </c>
      <c r="H72" s="21"/>
      <c r="I72" s="21"/>
      <c r="J72" s="229"/>
      <c r="K72" s="229"/>
      <c r="L72" s="229"/>
      <c r="M72" s="229"/>
      <c r="N72" s="229"/>
      <c r="O72" s="229"/>
      <c r="P72" s="230" t="str">
        <f t="shared" si="22"/>
        <v/>
      </c>
      <c r="Q72" s="222" t="str">
        <f t="shared" si="23"/>
        <v/>
      </c>
      <c r="R72" s="230" t="str">
        <f t="shared" si="24"/>
        <v/>
      </c>
      <c r="S72" s="222" t="str">
        <f t="shared" si="25"/>
        <v/>
      </c>
      <c r="T72" s="230" t="str">
        <f t="shared" si="26"/>
        <v/>
      </c>
      <c r="U72" s="222" t="str">
        <f t="shared" si="27"/>
        <v/>
      </c>
      <c r="V72" s="230" t="str">
        <f t="shared" si="28"/>
        <v/>
      </c>
      <c r="W72" s="222" t="str">
        <f t="shared" si="29"/>
        <v/>
      </c>
      <c r="X72" s="230" t="str">
        <f t="shared" si="30"/>
        <v/>
      </c>
      <c r="Y72" s="222" t="str">
        <f t="shared" si="31"/>
        <v/>
      </c>
      <c r="Z72" s="230" t="str">
        <f t="shared" si="32"/>
        <v/>
      </c>
      <c r="AA72" s="222" t="str">
        <f t="shared" si="33"/>
        <v/>
      </c>
    </row>
    <row r="73" spans="5:27" ht="20.100000000000001" customHeight="1" x14ac:dyDescent="0.55000000000000004">
      <c r="E73" s="217" t="str" cm="1">
        <f t="array" ref="E73">IFERROR(_xlfn.IFS($E$1="GENINTEGRATION 22 Parameters",(_xlfn.IFS($F$1=$Q$1,INDEX($P$2:$P$100,MATCH(0,INDEX(COUNTIF($E$1:$E72,$P$2:$P$100)+(COUNTIF($P$2:$P$100,$P$2:$P$100)&lt;&gt;1),0,0),0)),$F$1=$S$1,INDEX($R$2:$R$100,MATCH(0,INDEX(COUNTIF($E$1:$E72,$R$2:$R$100)+(COUNTIF($R$2:$R$100,$R$2:$R$100)&lt;&gt;1),0,0),0)),$F$1=$U$1,INDEX($T$2:$T$100,MATCH(0,INDEX(COUNTIF($E$1:$E72,$T$2:$T$100)+(COUNTIF($T$2:$T$100,$T$2:$T$100)&lt;&gt;1),0,0),0)),$F$1=$W$1,INDEX($V$2:$V$100,MATCH(0,INDEX(COUNTIF($E$1:$E72,$V$2:$V$100)+(COUNTIF($V$2:$V$100,$V$2:$V$100)&lt;&gt;1),0,0),0)),$F$1=$Y$1,INDEX($X$2:$X$100,MATCH(0,INDEX(COUNTIF($E$1:$E72,$X$2:$X$100)+(COUNTIF($X$2:$X$100,$X$2:$X$100)&lt;&gt;1),0,0),0)),$F$1=$AA$1,INDEX($Z$2:$Z$100,MATCH(0,INDEX(COUNTIF($E$1:$E72,$Z$2:$Z$100)+(COUNTIF($Z$2:$Z$100,$Z$2:$Z$100)&lt;&gt;1),0,0),0)),TRUE,"")),$E$1="GENINTEGRATION 22 Attributes",INDEX($H$2:$H$100,MATCH(0,INDEX(COUNTIF($E$1:$E72,$H$2:$H$100)+(COUNTIF($H$2:$H$100,$H$2:$H$100)&lt;&gt;1),0,0),0)),TRUE,""),"")</f>
        <v/>
      </c>
      <c r="F73" s="213" t="str" cm="1">
        <f t="array" ref="F73">IFERROR(_xlfn.IFS($F$1=$Q$1,_xlfn.XLOOKUP($E73,$P$2:$P$100,Q$2:Q$100)&amp;"",$F$1=$S$1,_xlfn.XLOOKUP($E73,$R$2:$R$100,$S$2:$S$100)&amp;"",$F$1=$Y$1,_xlfn.XLOOKUP($E73,$X$2:$X$100,$Y$2:$Y$100)&amp;"",$F$1=$U$1,_xlfn.XLOOKUP($E73,$T$2:$T$100,$U$2:$U$100)&amp;"",$F$1=$W$1,_xlfn.XLOOKUP($E73,$V$2:$V$100,$W$2:$W$100)&amp;"",$F$1=$AA$1,_xlfn.XLOOKUP($E73,$Z$2:$Z$100,$AA$2:$AA$100)&amp;"",TRUE, ""),"")</f>
        <v/>
      </c>
      <c r="G73" s="215" t="str" cm="1">
        <f t="array" ref="G73">IFERROR(IF($F73&lt;&gt;"",_xlfn.IFS($F$1="LM7 31 ClPRODUCT4 ms","LM7",$F$1="LMS1 31 ClPRODUCT4 ms","CV",$F$1="LMS2 31 ClPRODUCT4 ms","CL",$F$1="LMS5 31 ClPRODUCT4 ms","JZ",$F$1="LMS8 31 ClPRODUCT4 ms","DL",$F$1="LMS6 31 ClPRODUCT4 ms","MD",TRUE, ""),IF(AND($E$1="GENINTEGRATION 22 Attributes",$E73&lt;&gt;""),"22","")),"")</f>
        <v/>
      </c>
      <c r="H73" s="21"/>
      <c r="I73" s="21"/>
      <c r="J73" s="229"/>
      <c r="K73" s="229"/>
      <c r="L73" s="229"/>
      <c r="M73" s="229"/>
      <c r="N73" s="229"/>
      <c r="O73" s="229"/>
      <c r="P73" s="230" t="str">
        <f t="shared" si="22"/>
        <v/>
      </c>
      <c r="Q73" s="222" t="str">
        <f t="shared" si="23"/>
        <v/>
      </c>
      <c r="R73" s="230" t="str">
        <f t="shared" si="24"/>
        <v/>
      </c>
      <c r="S73" s="222" t="str">
        <f t="shared" si="25"/>
        <v/>
      </c>
      <c r="T73" s="230" t="str">
        <f t="shared" si="26"/>
        <v/>
      </c>
      <c r="U73" s="222" t="str">
        <f t="shared" si="27"/>
        <v/>
      </c>
      <c r="V73" s="230" t="str">
        <f t="shared" si="28"/>
        <v/>
      </c>
      <c r="W73" s="222" t="str">
        <f t="shared" si="29"/>
        <v/>
      </c>
      <c r="X73" s="230" t="str">
        <f t="shared" si="30"/>
        <v/>
      </c>
      <c r="Y73" s="222" t="str">
        <f t="shared" si="31"/>
        <v/>
      </c>
      <c r="Z73" s="230" t="str">
        <f t="shared" si="32"/>
        <v/>
      </c>
      <c r="AA73" s="222" t="str">
        <f t="shared" si="33"/>
        <v/>
      </c>
    </row>
    <row r="74" spans="5:27" ht="20.100000000000001" customHeight="1" x14ac:dyDescent="0.55000000000000004">
      <c r="E74" s="217" t="str" cm="1">
        <f t="array" ref="E74">IFERROR(_xlfn.IFS($E$1="GENINTEGRATION 22 Parameters",(_xlfn.IFS($F$1=$Q$1,INDEX($P$2:$P$100,MATCH(0,INDEX(COUNTIF($E$1:$E73,$P$2:$P$100)+(COUNTIF($P$2:$P$100,$P$2:$P$100)&lt;&gt;1),0,0),0)),$F$1=$S$1,INDEX($R$2:$R$100,MATCH(0,INDEX(COUNTIF($E$1:$E73,$R$2:$R$100)+(COUNTIF($R$2:$R$100,$R$2:$R$100)&lt;&gt;1),0,0),0)),$F$1=$U$1,INDEX($T$2:$T$100,MATCH(0,INDEX(COUNTIF($E$1:$E73,$T$2:$T$100)+(COUNTIF($T$2:$T$100,$T$2:$T$100)&lt;&gt;1),0,0),0)),$F$1=$W$1,INDEX($V$2:$V$100,MATCH(0,INDEX(COUNTIF($E$1:$E73,$V$2:$V$100)+(COUNTIF($V$2:$V$100,$V$2:$V$100)&lt;&gt;1),0,0),0)),$F$1=$Y$1,INDEX($X$2:$X$100,MATCH(0,INDEX(COUNTIF($E$1:$E73,$X$2:$X$100)+(COUNTIF($X$2:$X$100,$X$2:$X$100)&lt;&gt;1),0,0),0)),$F$1=$AA$1,INDEX($Z$2:$Z$100,MATCH(0,INDEX(COUNTIF($E$1:$E73,$Z$2:$Z$100)+(COUNTIF($Z$2:$Z$100,$Z$2:$Z$100)&lt;&gt;1),0,0),0)),TRUE,"")),$E$1="GENINTEGRATION 22 Attributes",INDEX($H$2:$H$100,MATCH(0,INDEX(COUNTIF($E$1:$E73,$H$2:$H$100)+(COUNTIF($H$2:$H$100,$H$2:$H$100)&lt;&gt;1),0,0),0)),TRUE,""),"")</f>
        <v/>
      </c>
      <c r="F74" s="213" t="str" cm="1">
        <f t="array" ref="F74">IFERROR(_xlfn.IFS($F$1=$Q$1,_xlfn.XLOOKUP($E74,$P$2:$P$100,Q$2:Q$100)&amp;"",$F$1=$S$1,_xlfn.XLOOKUP($E74,$R$2:$R$100,$S$2:$S$100)&amp;"",$F$1=$Y$1,_xlfn.XLOOKUP($E74,$X$2:$X$100,$Y$2:$Y$100)&amp;"",$F$1=$U$1,_xlfn.XLOOKUP($E74,$T$2:$T$100,$U$2:$U$100)&amp;"",$F$1=$W$1,_xlfn.XLOOKUP($E74,$V$2:$V$100,$W$2:$W$100)&amp;"",$F$1=$AA$1,_xlfn.XLOOKUP($E74,$Z$2:$Z$100,$AA$2:$AA$100)&amp;"",TRUE, ""),"")</f>
        <v/>
      </c>
      <c r="G74" s="215" t="str" cm="1">
        <f t="array" ref="G74">IFERROR(IF($F74&lt;&gt;"",_xlfn.IFS($F$1="LM7 31 ClPRODUCT4 ms","LM7",$F$1="LMS1 31 ClPRODUCT4 ms","CV",$F$1="LMS2 31 ClPRODUCT4 ms","CL",$F$1="LMS5 31 ClPRODUCT4 ms","JZ",$F$1="LMS8 31 ClPRODUCT4 ms","DL",$F$1="LMS6 31 ClPRODUCT4 ms","MD",TRUE, ""),IF(AND($E$1="GENINTEGRATION 22 Attributes",$E74&lt;&gt;""),"22","")),"")</f>
        <v/>
      </c>
      <c r="H74" s="21"/>
      <c r="I74" s="21"/>
      <c r="J74" s="229"/>
      <c r="K74" s="229"/>
      <c r="L74" s="229"/>
      <c r="M74" s="229"/>
      <c r="N74" s="229"/>
      <c r="O74" s="229"/>
      <c r="P74" s="230" t="str">
        <f t="shared" si="22"/>
        <v/>
      </c>
      <c r="Q74" s="222" t="str">
        <f t="shared" si="23"/>
        <v/>
      </c>
      <c r="R74" s="230" t="str">
        <f t="shared" si="24"/>
        <v/>
      </c>
      <c r="S74" s="222" t="str">
        <f t="shared" si="25"/>
        <v/>
      </c>
      <c r="T74" s="230" t="str">
        <f t="shared" si="26"/>
        <v/>
      </c>
      <c r="U74" s="222" t="str">
        <f t="shared" si="27"/>
        <v/>
      </c>
      <c r="V74" s="230" t="str">
        <f t="shared" si="28"/>
        <v/>
      </c>
      <c r="W74" s="222" t="str">
        <f t="shared" si="29"/>
        <v/>
      </c>
      <c r="X74" s="230" t="str">
        <f t="shared" si="30"/>
        <v/>
      </c>
      <c r="Y74" s="222" t="str">
        <f t="shared" si="31"/>
        <v/>
      </c>
      <c r="Z74" s="230" t="str">
        <f t="shared" si="32"/>
        <v/>
      </c>
      <c r="AA74" s="222" t="str">
        <f t="shared" si="33"/>
        <v/>
      </c>
    </row>
    <row r="75" spans="5:27" ht="20.100000000000001" customHeight="1" x14ac:dyDescent="0.55000000000000004">
      <c r="E75" s="217" t="str" cm="1">
        <f t="array" ref="E75">IFERROR(_xlfn.IFS($E$1="GENINTEGRATION 22 Parameters",(_xlfn.IFS($F$1=$Q$1,INDEX($P$2:$P$100,MATCH(0,INDEX(COUNTIF($E$1:$E74,$P$2:$P$100)+(COUNTIF($P$2:$P$100,$P$2:$P$100)&lt;&gt;1),0,0),0)),$F$1=$S$1,INDEX($R$2:$R$100,MATCH(0,INDEX(COUNTIF($E$1:$E74,$R$2:$R$100)+(COUNTIF($R$2:$R$100,$R$2:$R$100)&lt;&gt;1),0,0),0)),$F$1=$U$1,INDEX($T$2:$T$100,MATCH(0,INDEX(COUNTIF($E$1:$E74,$T$2:$T$100)+(COUNTIF($T$2:$T$100,$T$2:$T$100)&lt;&gt;1),0,0),0)),$F$1=$W$1,INDEX($V$2:$V$100,MATCH(0,INDEX(COUNTIF($E$1:$E74,$V$2:$V$100)+(COUNTIF($V$2:$V$100,$V$2:$V$100)&lt;&gt;1),0,0),0)),$F$1=$Y$1,INDEX($X$2:$X$100,MATCH(0,INDEX(COUNTIF($E$1:$E74,$X$2:$X$100)+(COUNTIF($X$2:$X$100,$X$2:$X$100)&lt;&gt;1),0,0),0)),$F$1=$AA$1,INDEX($Z$2:$Z$100,MATCH(0,INDEX(COUNTIF($E$1:$E74,$Z$2:$Z$100)+(COUNTIF($Z$2:$Z$100,$Z$2:$Z$100)&lt;&gt;1),0,0),0)),TRUE,"")),$E$1="GENINTEGRATION 22 Attributes",INDEX($H$2:$H$100,MATCH(0,INDEX(COUNTIF($E$1:$E74,$H$2:$H$100)+(COUNTIF($H$2:$H$100,$H$2:$H$100)&lt;&gt;1),0,0),0)),TRUE,""),"")</f>
        <v/>
      </c>
      <c r="F75" s="213" t="str" cm="1">
        <f t="array" ref="F75">IFERROR(_xlfn.IFS($F$1=$Q$1,_xlfn.XLOOKUP($E75,$P$2:$P$100,Q$2:Q$100)&amp;"",$F$1=$S$1,_xlfn.XLOOKUP($E75,$R$2:$R$100,$S$2:$S$100)&amp;"",$F$1=$Y$1,_xlfn.XLOOKUP($E75,$X$2:$X$100,$Y$2:$Y$100)&amp;"",$F$1=$U$1,_xlfn.XLOOKUP($E75,$T$2:$T$100,$U$2:$U$100)&amp;"",$F$1=$W$1,_xlfn.XLOOKUP($E75,$V$2:$V$100,$W$2:$W$100)&amp;"",$F$1=$AA$1,_xlfn.XLOOKUP($E75,$Z$2:$Z$100,$AA$2:$AA$100)&amp;"",TRUE, ""),"")</f>
        <v/>
      </c>
      <c r="G75" s="215" t="str" cm="1">
        <f t="array" ref="G75">IFERROR(IF($F75&lt;&gt;"",_xlfn.IFS($F$1="LM7 31 ClPRODUCT4 ms","LM7",$F$1="LMS1 31 ClPRODUCT4 ms","CV",$F$1="LMS2 31 ClPRODUCT4 ms","CL",$F$1="LMS5 31 ClPRODUCT4 ms","JZ",$F$1="LMS8 31 ClPRODUCT4 ms","DL",$F$1="LMS6 31 ClPRODUCT4 ms","MD",TRUE, ""),IF(AND($E$1="GENINTEGRATION 22 Attributes",$E75&lt;&gt;""),"22","")),"")</f>
        <v/>
      </c>
      <c r="H75" s="21"/>
      <c r="I75" s="21"/>
      <c r="J75" s="229"/>
      <c r="K75" s="229"/>
      <c r="L75" s="229"/>
      <c r="M75" s="229"/>
      <c r="N75" s="229"/>
      <c r="O75" s="229"/>
      <c r="P75" s="230" t="str">
        <f t="shared" si="22"/>
        <v/>
      </c>
      <c r="Q75" s="222" t="str">
        <f t="shared" si="23"/>
        <v/>
      </c>
      <c r="R75" s="230" t="str">
        <f t="shared" si="24"/>
        <v/>
      </c>
      <c r="S75" s="222" t="str">
        <f t="shared" si="25"/>
        <v/>
      </c>
      <c r="T75" s="230" t="str">
        <f t="shared" si="26"/>
        <v/>
      </c>
      <c r="U75" s="222" t="str">
        <f t="shared" si="27"/>
        <v/>
      </c>
      <c r="V75" s="230" t="str">
        <f t="shared" si="28"/>
        <v/>
      </c>
      <c r="W75" s="222" t="str">
        <f t="shared" si="29"/>
        <v/>
      </c>
      <c r="X75" s="230" t="str">
        <f t="shared" si="30"/>
        <v/>
      </c>
      <c r="Y75" s="222" t="str">
        <f t="shared" si="31"/>
        <v/>
      </c>
      <c r="Z75" s="230" t="str">
        <f t="shared" si="32"/>
        <v/>
      </c>
      <c r="AA75" s="222" t="str">
        <f t="shared" si="33"/>
        <v/>
      </c>
    </row>
    <row r="76" spans="5:27" ht="20.100000000000001" customHeight="1" x14ac:dyDescent="0.55000000000000004">
      <c r="E76" s="217" t="str" cm="1">
        <f t="array" ref="E76">IFERROR(_xlfn.IFS($E$1="GENINTEGRATION 22 Parameters",(_xlfn.IFS($F$1=$Q$1,INDEX($P$2:$P$100,MATCH(0,INDEX(COUNTIF($E$1:$E75,$P$2:$P$100)+(COUNTIF($P$2:$P$100,$P$2:$P$100)&lt;&gt;1),0,0),0)),$F$1=$S$1,INDEX($R$2:$R$100,MATCH(0,INDEX(COUNTIF($E$1:$E75,$R$2:$R$100)+(COUNTIF($R$2:$R$100,$R$2:$R$100)&lt;&gt;1),0,0),0)),$F$1=$U$1,INDEX($T$2:$T$100,MATCH(0,INDEX(COUNTIF($E$1:$E75,$T$2:$T$100)+(COUNTIF($T$2:$T$100,$T$2:$T$100)&lt;&gt;1),0,0),0)),$F$1=$W$1,INDEX($V$2:$V$100,MATCH(0,INDEX(COUNTIF($E$1:$E75,$V$2:$V$100)+(COUNTIF($V$2:$V$100,$V$2:$V$100)&lt;&gt;1),0,0),0)),$F$1=$Y$1,INDEX($X$2:$X$100,MATCH(0,INDEX(COUNTIF($E$1:$E75,$X$2:$X$100)+(COUNTIF($X$2:$X$100,$X$2:$X$100)&lt;&gt;1),0,0),0)),$F$1=$AA$1,INDEX($Z$2:$Z$100,MATCH(0,INDEX(COUNTIF($E$1:$E75,$Z$2:$Z$100)+(COUNTIF($Z$2:$Z$100,$Z$2:$Z$100)&lt;&gt;1),0,0),0)),TRUE,"")),$E$1="GENINTEGRATION 22 Attributes",INDEX($H$2:$H$100,MATCH(0,INDEX(COUNTIF($E$1:$E75,$H$2:$H$100)+(COUNTIF($H$2:$H$100,$H$2:$H$100)&lt;&gt;1),0,0),0)),TRUE,""),"")</f>
        <v/>
      </c>
      <c r="F76" s="213" t="str" cm="1">
        <f t="array" ref="F76">IFERROR(_xlfn.IFS($F$1=$Q$1,_xlfn.XLOOKUP($E76,$P$2:$P$100,Q$2:Q$100)&amp;"",$F$1=$S$1,_xlfn.XLOOKUP($E76,$R$2:$R$100,$S$2:$S$100)&amp;"",$F$1=$Y$1,_xlfn.XLOOKUP($E76,$X$2:$X$100,$Y$2:$Y$100)&amp;"",$F$1=$U$1,_xlfn.XLOOKUP($E76,$T$2:$T$100,$U$2:$U$100)&amp;"",$F$1=$W$1,_xlfn.XLOOKUP($E76,$V$2:$V$100,$W$2:$W$100)&amp;"",$F$1=$AA$1,_xlfn.XLOOKUP($E76,$Z$2:$Z$100,$AA$2:$AA$100)&amp;"",TRUE, ""),"")</f>
        <v/>
      </c>
      <c r="G76" s="215" t="str" cm="1">
        <f t="array" ref="G76">IFERROR(IF($F76&lt;&gt;"",_xlfn.IFS($F$1="LM7 31 ClPRODUCT4 ms","LM7",$F$1="LMS1 31 ClPRODUCT4 ms","CV",$F$1="LMS2 31 ClPRODUCT4 ms","CL",$F$1="LMS5 31 ClPRODUCT4 ms","JZ",$F$1="LMS8 31 ClPRODUCT4 ms","DL",$F$1="LMS6 31 ClPRODUCT4 ms","MD",TRUE, ""),IF(AND($E$1="GENINTEGRATION 22 Attributes",$E76&lt;&gt;""),"22","")),"")</f>
        <v/>
      </c>
      <c r="H76" s="21"/>
      <c r="I76" s="21"/>
      <c r="J76" s="229"/>
      <c r="K76" s="229"/>
      <c r="L76" s="229"/>
      <c r="M76" s="229"/>
      <c r="N76" s="229"/>
      <c r="O76" s="229"/>
      <c r="P76" s="230" t="str">
        <f t="shared" ref="P76:P100" si="34">IF(AND($H76&lt;&gt;"",Q76&lt;&gt;""),$H76,"")</f>
        <v/>
      </c>
      <c r="Q76" s="222" t="str">
        <f t="shared" si="23"/>
        <v/>
      </c>
      <c r="R76" s="230" t="str">
        <f t="shared" si="24"/>
        <v/>
      </c>
      <c r="S76" s="222" t="str">
        <f t="shared" si="25"/>
        <v/>
      </c>
      <c r="T76" s="230" t="str">
        <f t="shared" si="26"/>
        <v/>
      </c>
      <c r="U76" s="222" t="str">
        <f t="shared" si="27"/>
        <v/>
      </c>
      <c r="V76" s="230" t="str">
        <f t="shared" si="28"/>
        <v/>
      </c>
      <c r="W76" s="222" t="str">
        <f t="shared" si="29"/>
        <v/>
      </c>
      <c r="X76" s="230" t="str">
        <f t="shared" si="30"/>
        <v/>
      </c>
      <c r="Y76" s="222" t="str">
        <f t="shared" si="31"/>
        <v/>
      </c>
      <c r="Z76" s="230" t="str">
        <f t="shared" si="32"/>
        <v/>
      </c>
      <c r="AA76" s="222" t="str">
        <f t="shared" si="33"/>
        <v/>
      </c>
    </row>
    <row r="77" spans="5:27" ht="20.100000000000001" customHeight="1" x14ac:dyDescent="0.55000000000000004">
      <c r="E77" s="217" t="str" cm="1">
        <f t="array" ref="E77">IFERROR(_xlfn.IFS($E$1="GENINTEGRATION 22 Parameters",(_xlfn.IFS($F$1=$Q$1,INDEX($P$2:$P$100,MATCH(0,INDEX(COUNTIF($E$1:$E76,$P$2:$P$100)+(COUNTIF($P$2:$P$100,$P$2:$P$100)&lt;&gt;1),0,0),0)),$F$1=$S$1,INDEX($R$2:$R$100,MATCH(0,INDEX(COUNTIF($E$1:$E76,$R$2:$R$100)+(COUNTIF($R$2:$R$100,$R$2:$R$100)&lt;&gt;1),0,0),0)),$F$1=$U$1,INDEX($T$2:$T$100,MATCH(0,INDEX(COUNTIF($E$1:$E76,$T$2:$T$100)+(COUNTIF($T$2:$T$100,$T$2:$T$100)&lt;&gt;1),0,0),0)),$F$1=$W$1,INDEX($V$2:$V$100,MATCH(0,INDEX(COUNTIF($E$1:$E76,$V$2:$V$100)+(COUNTIF($V$2:$V$100,$V$2:$V$100)&lt;&gt;1),0,0),0)),$F$1=$Y$1,INDEX($X$2:$X$100,MATCH(0,INDEX(COUNTIF($E$1:$E76,$X$2:$X$100)+(COUNTIF($X$2:$X$100,$X$2:$X$100)&lt;&gt;1),0,0),0)),$F$1=$AA$1,INDEX($Z$2:$Z$100,MATCH(0,INDEX(COUNTIF($E$1:$E76,$Z$2:$Z$100)+(COUNTIF($Z$2:$Z$100,$Z$2:$Z$100)&lt;&gt;1),0,0),0)),TRUE,"")),$E$1="GENINTEGRATION 22 Attributes",INDEX($H$2:$H$100,MATCH(0,INDEX(COUNTIF($E$1:$E76,$H$2:$H$100)+(COUNTIF($H$2:$H$100,$H$2:$H$100)&lt;&gt;1),0,0),0)),TRUE,""),"")</f>
        <v/>
      </c>
      <c r="F77" s="213" t="str" cm="1">
        <f t="array" ref="F77">IFERROR(_xlfn.IFS($F$1=$Q$1,_xlfn.XLOOKUP($E77,$P$2:$P$100,Q$2:Q$100)&amp;"",$F$1=$S$1,_xlfn.XLOOKUP($E77,$R$2:$R$100,$S$2:$S$100)&amp;"",$F$1=$Y$1,_xlfn.XLOOKUP($E77,$X$2:$X$100,$Y$2:$Y$100)&amp;"",$F$1=$U$1,_xlfn.XLOOKUP($E77,$T$2:$T$100,$U$2:$U$100)&amp;"",$F$1=$W$1,_xlfn.XLOOKUP($E77,$V$2:$V$100,$W$2:$W$100)&amp;"",$F$1=$AA$1,_xlfn.XLOOKUP($E77,$Z$2:$Z$100,$AA$2:$AA$100)&amp;"",TRUE, ""),"")</f>
        <v/>
      </c>
      <c r="G77" s="215" t="str" cm="1">
        <f t="array" ref="G77">IFERROR(IF($F77&lt;&gt;"",_xlfn.IFS($F$1="LM7 31 ClPRODUCT4 ms","LM7",$F$1="LMS1 31 ClPRODUCT4 ms","CV",$F$1="LMS2 31 ClPRODUCT4 ms","CL",$F$1="LMS5 31 ClPRODUCT4 ms","JZ",$F$1="LMS8 31 ClPRODUCT4 ms","DL",$F$1="LMS6 31 ClPRODUCT4 ms","MD",TRUE, ""),IF(AND($E$1="GENINTEGRATION 22 Attributes",$E77&lt;&gt;""),"22","")),"")</f>
        <v/>
      </c>
      <c r="H77" s="21"/>
      <c r="I77" s="21"/>
      <c r="J77" s="229"/>
      <c r="K77" s="229"/>
      <c r="L77" s="229"/>
      <c r="M77" s="229"/>
      <c r="N77" s="229"/>
      <c r="O77" s="229"/>
      <c r="P77" s="230" t="str">
        <f t="shared" si="34"/>
        <v/>
      </c>
      <c r="Q77" s="222" t="str">
        <f t="shared" si="23"/>
        <v/>
      </c>
      <c r="R77" s="230" t="str">
        <f t="shared" si="24"/>
        <v/>
      </c>
      <c r="S77" s="222" t="str">
        <f t="shared" si="25"/>
        <v/>
      </c>
      <c r="T77" s="230" t="str">
        <f t="shared" si="26"/>
        <v/>
      </c>
      <c r="U77" s="222" t="str">
        <f t="shared" si="27"/>
        <v/>
      </c>
      <c r="V77" s="230" t="str">
        <f t="shared" si="28"/>
        <v/>
      </c>
      <c r="W77" s="222" t="str">
        <f t="shared" si="29"/>
        <v/>
      </c>
      <c r="X77" s="230" t="str">
        <f t="shared" si="30"/>
        <v/>
      </c>
      <c r="Y77" s="222" t="str">
        <f t="shared" si="31"/>
        <v/>
      </c>
      <c r="Z77" s="230" t="str">
        <f t="shared" si="32"/>
        <v/>
      </c>
      <c r="AA77" s="222" t="str">
        <f t="shared" si="33"/>
        <v/>
      </c>
    </row>
    <row r="78" spans="5:27" ht="20.100000000000001" customHeight="1" x14ac:dyDescent="0.55000000000000004">
      <c r="E78" s="217" t="str" cm="1">
        <f t="array" ref="E78">IFERROR(_xlfn.IFS($E$1="GENINTEGRATION 22 Parameters",(_xlfn.IFS($F$1=$Q$1,INDEX($P$2:$P$100,MATCH(0,INDEX(COUNTIF($E$1:$E77,$P$2:$P$100)+(COUNTIF($P$2:$P$100,$P$2:$P$100)&lt;&gt;1),0,0),0)),$F$1=$S$1,INDEX($R$2:$R$100,MATCH(0,INDEX(COUNTIF($E$1:$E77,$R$2:$R$100)+(COUNTIF($R$2:$R$100,$R$2:$R$100)&lt;&gt;1),0,0),0)),$F$1=$U$1,INDEX($T$2:$T$100,MATCH(0,INDEX(COUNTIF($E$1:$E77,$T$2:$T$100)+(COUNTIF($T$2:$T$100,$T$2:$T$100)&lt;&gt;1),0,0),0)),$F$1=$W$1,INDEX($V$2:$V$100,MATCH(0,INDEX(COUNTIF($E$1:$E77,$V$2:$V$100)+(COUNTIF($V$2:$V$100,$V$2:$V$100)&lt;&gt;1),0,0),0)),$F$1=$Y$1,INDEX($X$2:$X$100,MATCH(0,INDEX(COUNTIF($E$1:$E77,$X$2:$X$100)+(COUNTIF($X$2:$X$100,$X$2:$X$100)&lt;&gt;1),0,0),0)),$F$1=$AA$1,INDEX($Z$2:$Z$100,MATCH(0,INDEX(COUNTIF($E$1:$E77,$Z$2:$Z$100)+(COUNTIF($Z$2:$Z$100,$Z$2:$Z$100)&lt;&gt;1),0,0),0)),TRUE,"")),$E$1="GENINTEGRATION 22 Attributes",INDEX($H$2:$H$100,MATCH(0,INDEX(COUNTIF($E$1:$E77,$H$2:$H$100)+(COUNTIF($H$2:$H$100,$H$2:$H$100)&lt;&gt;1),0,0),0)),TRUE,""),"")</f>
        <v/>
      </c>
      <c r="F78" s="213" t="str" cm="1">
        <f t="array" ref="F78">IFERROR(_xlfn.IFS($F$1=$Q$1,_xlfn.XLOOKUP($E78,$P$2:$P$100,Q$2:Q$100)&amp;"",$F$1=$S$1,_xlfn.XLOOKUP($E78,$R$2:$R$100,$S$2:$S$100)&amp;"",$F$1=$Y$1,_xlfn.XLOOKUP($E78,$X$2:$X$100,$Y$2:$Y$100)&amp;"",$F$1=$U$1,_xlfn.XLOOKUP($E78,$T$2:$T$100,$U$2:$U$100)&amp;"",$F$1=$W$1,_xlfn.XLOOKUP($E78,$V$2:$V$100,$W$2:$W$100)&amp;"",$F$1=$AA$1,_xlfn.XLOOKUP($E78,$Z$2:$Z$100,$AA$2:$AA$100)&amp;"",TRUE, ""),"")</f>
        <v/>
      </c>
      <c r="G78" s="215" t="str" cm="1">
        <f t="array" ref="G78">IFERROR(IF($F78&lt;&gt;"",_xlfn.IFS($F$1="LM7 31 ClPRODUCT4 ms","LM7",$F$1="LMS1 31 ClPRODUCT4 ms","CV",$F$1="LMS2 31 ClPRODUCT4 ms","CL",$F$1="LMS5 31 ClPRODUCT4 ms","JZ",$F$1="LMS8 31 ClPRODUCT4 ms","DL",$F$1="LMS6 31 ClPRODUCT4 ms","MD",TRUE, ""),IF(AND($E$1="GENINTEGRATION 22 Attributes",$E78&lt;&gt;""),"22","")),"")</f>
        <v/>
      </c>
      <c r="H78" s="21"/>
      <c r="I78" s="21"/>
      <c r="J78" s="229"/>
      <c r="K78" s="229"/>
      <c r="L78" s="229"/>
      <c r="M78" s="229"/>
      <c r="N78" s="229"/>
      <c r="O78" s="229"/>
      <c r="P78" s="230" t="str">
        <f t="shared" si="34"/>
        <v/>
      </c>
      <c r="Q78" s="222" t="str">
        <f t="shared" si="23"/>
        <v/>
      </c>
      <c r="R78" s="230" t="str">
        <f t="shared" si="24"/>
        <v/>
      </c>
      <c r="S78" s="222" t="str">
        <f t="shared" si="25"/>
        <v/>
      </c>
      <c r="T78" s="230" t="str">
        <f t="shared" si="26"/>
        <v/>
      </c>
      <c r="U78" s="222" t="str">
        <f t="shared" si="27"/>
        <v/>
      </c>
      <c r="V78" s="230" t="str">
        <f t="shared" si="28"/>
        <v/>
      </c>
      <c r="W78" s="222" t="str">
        <f t="shared" si="29"/>
        <v/>
      </c>
      <c r="X78" s="230" t="str">
        <f t="shared" si="30"/>
        <v/>
      </c>
      <c r="Y78" s="222" t="str">
        <f t="shared" si="31"/>
        <v/>
      </c>
      <c r="Z78" s="230" t="str">
        <f t="shared" si="32"/>
        <v/>
      </c>
      <c r="AA78" s="222" t="str">
        <f t="shared" si="33"/>
        <v/>
      </c>
    </row>
    <row r="79" spans="5:27" ht="20.100000000000001" customHeight="1" x14ac:dyDescent="0.55000000000000004">
      <c r="E79" s="217" t="str" cm="1">
        <f t="array" ref="E79">IFERROR(_xlfn.IFS($E$1="GENINTEGRATION 22 Parameters",(_xlfn.IFS($F$1=$Q$1,INDEX($P$2:$P$100,MATCH(0,INDEX(COUNTIF($E$1:$E78,$P$2:$P$100)+(COUNTIF($P$2:$P$100,$P$2:$P$100)&lt;&gt;1),0,0),0)),$F$1=$S$1,INDEX($R$2:$R$100,MATCH(0,INDEX(COUNTIF($E$1:$E78,$R$2:$R$100)+(COUNTIF($R$2:$R$100,$R$2:$R$100)&lt;&gt;1),0,0),0)),$F$1=$U$1,INDEX($T$2:$T$100,MATCH(0,INDEX(COUNTIF($E$1:$E78,$T$2:$T$100)+(COUNTIF($T$2:$T$100,$T$2:$T$100)&lt;&gt;1),0,0),0)),$F$1=$W$1,INDEX($V$2:$V$100,MATCH(0,INDEX(COUNTIF($E$1:$E78,$V$2:$V$100)+(COUNTIF($V$2:$V$100,$V$2:$V$100)&lt;&gt;1),0,0),0)),$F$1=$Y$1,INDEX($X$2:$X$100,MATCH(0,INDEX(COUNTIF($E$1:$E78,$X$2:$X$100)+(COUNTIF($X$2:$X$100,$X$2:$X$100)&lt;&gt;1),0,0),0)),$F$1=$AA$1,INDEX($Z$2:$Z$100,MATCH(0,INDEX(COUNTIF($E$1:$E78,$Z$2:$Z$100)+(COUNTIF($Z$2:$Z$100,$Z$2:$Z$100)&lt;&gt;1),0,0),0)),TRUE,"")),$E$1="GENINTEGRATION 22 Attributes",INDEX($H$2:$H$100,MATCH(0,INDEX(COUNTIF($E$1:$E78,$H$2:$H$100)+(COUNTIF($H$2:$H$100,$H$2:$H$100)&lt;&gt;1),0,0),0)),TRUE,""),"")</f>
        <v/>
      </c>
      <c r="F79" s="213" t="str" cm="1">
        <f t="array" ref="F79">IFERROR(_xlfn.IFS($F$1=$Q$1,_xlfn.XLOOKUP($E79,$P$2:$P$100,Q$2:Q$100)&amp;"",$F$1=$S$1,_xlfn.XLOOKUP($E79,$R$2:$R$100,$S$2:$S$100)&amp;"",$F$1=$Y$1,_xlfn.XLOOKUP($E79,$X$2:$X$100,$Y$2:$Y$100)&amp;"",$F$1=$U$1,_xlfn.XLOOKUP($E79,$T$2:$T$100,$U$2:$U$100)&amp;"",$F$1=$W$1,_xlfn.XLOOKUP($E79,$V$2:$V$100,$W$2:$W$100)&amp;"",$F$1=$AA$1,_xlfn.XLOOKUP($E79,$Z$2:$Z$100,$AA$2:$AA$100)&amp;"",TRUE, ""),"")</f>
        <v/>
      </c>
      <c r="G79" s="215" t="str" cm="1">
        <f t="array" ref="G79">IFERROR(IF($F79&lt;&gt;"",_xlfn.IFS($F$1="LM7 31 ClPRODUCT4 ms","LM7",$F$1="LMS1 31 ClPRODUCT4 ms","CV",$F$1="LMS2 31 ClPRODUCT4 ms","CL",$F$1="LMS5 31 ClPRODUCT4 ms","JZ",$F$1="LMS8 31 ClPRODUCT4 ms","DL",$F$1="LMS6 31 ClPRODUCT4 ms","MD",TRUE, ""),IF(AND($E$1="GENINTEGRATION 22 Attributes",$E79&lt;&gt;""),"22","")),"")</f>
        <v/>
      </c>
      <c r="H79" s="21"/>
      <c r="I79" s="21"/>
      <c r="J79" s="229"/>
      <c r="K79" s="229"/>
      <c r="L79" s="229"/>
      <c r="M79" s="229"/>
      <c r="N79" s="229"/>
      <c r="O79" s="229"/>
      <c r="P79" s="230" t="str">
        <f t="shared" si="34"/>
        <v/>
      </c>
      <c r="Q79" s="222" t="str">
        <f t="shared" si="23"/>
        <v/>
      </c>
      <c r="R79" s="230" t="str">
        <f t="shared" si="24"/>
        <v/>
      </c>
      <c r="S79" s="222" t="str">
        <f t="shared" si="25"/>
        <v/>
      </c>
      <c r="T79" s="230" t="str">
        <f t="shared" si="26"/>
        <v/>
      </c>
      <c r="U79" s="222" t="str">
        <f t="shared" si="27"/>
        <v/>
      </c>
      <c r="V79" s="230" t="str">
        <f t="shared" si="28"/>
        <v/>
      </c>
      <c r="W79" s="222" t="str">
        <f t="shared" si="29"/>
        <v/>
      </c>
      <c r="X79" s="230" t="str">
        <f t="shared" si="30"/>
        <v/>
      </c>
      <c r="Y79" s="222" t="str">
        <f t="shared" si="31"/>
        <v/>
      </c>
      <c r="Z79" s="230" t="str">
        <f t="shared" si="32"/>
        <v/>
      </c>
      <c r="AA79" s="222" t="str">
        <f t="shared" si="33"/>
        <v/>
      </c>
    </row>
    <row r="80" spans="5:27" ht="20.100000000000001" customHeight="1" x14ac:dyDescent="0.55000000000000004">
      <c r="E80" s="217" t="str" cm="1">
        <f t="array" ref="E80">IFERROR(_xlfn.IFS($E$1="GENINTEGRATION 22 Parameters",(_xlfn.IFS($F$1=$Q$1,INDEX($P$2:$P$100,MATCH(0,INDEX(COUNTIF($E$1:$E79,$P$2:$P$100)+(COUNTIF($P$2:$P$100,$P$2:$P$100)&lt;&gt;1),0,0),0)),$F$1=$S$1,INDEX($R$2:$R$100,MATCH(0,INDEX(COUNTIF($E$1:$E79,$R$2:$R$100)+(COUNTIF($R$2:$R$100,$R$2:$R$100)&lt;&gt;1),0,0),0)),$F$1=$U$1,INDEX($T$2:$T$100,MATCH(0,INDEX(COUNTIF($E$1:$E79,$T$2:$T$100)+(COUNTIF($T$2:$T$100,$T$2:$T$100)&lt;&gt;1),0,0),0)),$F$1=$W$1,INDEX($V$2:$V$100,MATCH(0,INDEX(COUNTIF($E$1:$E79,$V$2:$V$100)+(COUNTIF($V$2:$V$100,$V$2:$V$100)&lt;&gt;1),0,0),0)),$F$1=$Y$1,INDEX($X$2:$X$100,MATCH(0,INDEX(COUNTIF($E$1:$E79,$X$2:$X$100)+(COUNTIF($X$2:$X$100,$X$2:$X$100)&lt;&gt;1),0,0),0)),$F$1=$AA$1,INDEX($Z$2:$Z$100,MATCH(0,INDEX(COUNTIF($E$1:$E79,$Z$2:$Z$100)+(COUNTIF($Z$2:$Z$100,$Z$2:$Z$100)&lt;&gt;1),0,0),0)),TRUE,"")),$E$1="GENINTEGRATION 22 Attributes",INDEX($H$2:$H$100,MATCH(0,INDEX(COUNTIF($E$1:$E79,$H$2:$H$100)+(COUNTIF($H$2:$H$100,$H$2:$H$100)&lt;&gt;1),0,0),0)),TRUE,""),"")</f>
        <v/>
      </c>
      <c r="F80" s="213" t="str" cm="1">
        <f t="array" ref="F80">IFERROR(_xlfn.IFS($F$1=$Q$1,_xlfn.XLOOKUP($E80,$P$2:$P$100,Q$2:Q$100)&amp;"",$F$1=$S$1,_xlfn.XLOOKUP($E80,$R$2:$R$100,$S$2:$S$100)&amp;"",$F$1=$Y$1,_xlfn.XLOOKUP($E80,$X$2:$X$100,$Y$2:$Y$100)&amp;"",$F$1=$U$1,_xlfn.XLOOKUP($E80,$T$2:$T$100,$U$2:$U$100)&amp;"",$F$1=$W$1,_xlfn.XLOOKUP($E80,$V$2:$V$100,$W$2:$W$100)&amp;"",$F$1=$AA$1,_xlfn.XLOOKUP($E80,$Z$2:$Z$100,$AA$2:$AA$100)&amp;"",TRUE, ""),"")</f>
        <v/>
      </c>
      <c r="G80" s="215" t="str" cm="1">
        <f t="array" ref="G80">IFERROR(IF($F80&lt;&gt;"",_xlfn.IFS($F$1="LM7 31 ClPRODUCT4 ms","LM7",$F$1="LMS1 31 ClPRODUCT4 ms","CV",$F$1="LMS2 31 ClPRODUCT4 ms","CL",$F$1="LMS5 31 ClPRODUCT4 ms","JZ",$F$1="LMS8 31 ClPRODUCT4 ms","DL",$F$1="LMS6 31 ClPRODUCT4 ms","MD",TRUE, ""),IF(AND($E$1="GENINTEGRATION 22 Attributes",$E80&lt;&gt;""),"22","")),"")</f>
        <v/>
      </c>
      <c r="H80" s="21"/>
      <c r="I80" s="21"/>
      <c r="J80" s="229"/>
      <c r="K80" s="229"/>
      <c r="L80" s="229"/>
      <c r="M80" s="229"/>
      <c r="N80" s="229"/>
      <c r="O80" s="229"/>
      <c r="P80" s="230" t="str">
        <f t="shared" si="34"/>
        <v/>
      </c>
      <c r="Q80" s="222" t="str">
        <f t="shared" si="23"/>
        <v/>
      </c>
      <c r="R80" s="230" t="str">
        <f t="shared" si="24"/>
        <v/>
      </c>
      <c r="S80" s="222" t="str">
        <f t="shared" si="25"/>
        <v/>
      </c>
      <c r="T80" s="230" t="str">
        <f t="shared" si="26"/>
        <v/>
      </c>
      <c r="U80" s="222" t="str">
        <f t="shared" si="27"/>
        <v/>
      </c>
      <c r="V80" s="230" t="str">
        <f t="shared" si="28"/>
        <v/>
      </c>
      <c r="W80" s="222" t="str">
        <f t="shared" si="29"/>
        <v/>
      </c>
      <c r="X80" s="230" t="str">
        <f t="shared" si="30"/>
        <v/>
      </c>
      <c r="Y80" s="222" t="str">
        <f t="shared" si="31"/>
        <v/>
      </c>
      <c r="Z80" s="230" t="str">
        <f t="shared" si="32"/>
        <v/>
      </c>
      <c r="AA80" s="222" t="str">
        <f t="shared" si="33"/>
        <v/>
      </c>
    </row>
    <row r="81" spans="5:27" ht="20.100000000000001" customHeight="1" x14ac:dyDescent="0.55000000000000004">
      <c r="E81" s="217" t="str" cm="1">
        <f t="array" ref="E81">IFERROR(_xlfn.IFS($E$1="GENINTEGRATION 22 Parameters",(_xlfn.IFS($F$1=$Q$1,INDEX($P$2:$P$100,MATCH(0,INDEX(COUNTIF($E$1:$E80,$P$2:$P$100)+(COUNTIF($P$2:$P$100,$P$2:$P$100)&lt;&gt;1),0,0),0)),$F$1=$S$1,INDEX($R$2:$R$100,MATCH(0,INDEX(COUNTIF($E$1:$E80,$R$2:$R$100)+(COUNTIF($R$2:$R$100,$R$2:$R$100)&lt;&gt;1),0,0),0)),$F$1=$U$1,INDEX($T$2:$T$100,MATCH(0,INDEX(COUNTIF($E$1:$E80,$T$2:$T$100)+(COUNTIF($T$2:$T$100,$T$2:$T$100)&lt;&gt;1),0,0),0)),$F$1=$W$1,INDEX($V$2:$V$100,MATCH(0,INDEX(COUNTIF($E$1:$E80,$V$2:$V$100)+(COUNTIF($V$2:$V$100,$V$2:$V$100)&lt;&gt;1),0,0),0)),$F$1=$Y$1,INDEX($X$2:$X$100,MATCH(0,INDEX(COUNTIF($E$1:$E80,$X$2:$X$100)+(COUNTIF($X$2:$X$100,$X$2:$X$100)&lt;&gt;1),0,0),0)),$F$1=$AA$1,INDEX($Z$2:$Z$100,MATCH(0,INDEX(COUNTIF($E$1:$E80,$Z$2:$Z$100)+(COUNTIF($Z$2:$Z$100,$Z$2:$Z$100)&lt;&gt;1),0,0),0)),TRUE,"")),$E$1="GENINTEGRATION 22 Attributes",INDEX($H$2:$H$100,MATCH(0,INDEX(COUNTIF($E$1:$E80,$H$2:$H$100)+(COUNTIF($H$2:$H$100,$H$2:$H$100)&lt;&gt;1),0,0),0)),TRUE,""),"")</f>
        <v/>
      </c>
      <c r="F81" s="213" t="str" cm="1">
        <f t="array" ref="F81">IFERROR(_xlfn.IFS($F$1=$Q$1,_xlfn.XLOOKUP($E81,$P$2:$P$100,Q$2:Q$100)&amp;"",$F$1=$S$1,_xlfn.XLOOKUP($E81,$R$2:$R$100,$S$2:$S$100)&amp;"",$F$1=$Y$1,_xlfn.XLOOKUP($E81,$X$2:$X$100,$Y$2:$Y$100)&amp;"",$F$1=$U$1,_xlfn.XLOOKUP($E81,$T$2:$T$100,$U$2:$U$100)&amp;"",$F$1=$W$1,_xlfn.XLOOKUP($E81,$V$2:$V$100,$W$2:$W$100)&amp;"",$F$1=$AA$1,_xlfn.XLOOKUP($E81,$Z$2:$Z$100,$AA$2:$AA$100)&amp;"",TRUE, ""),"")</f>
        <v/>
      </c>
      <c r="G81" s="215" t="str" cm="1">
        <f t="array" ref="G81">IFERROR(IF($F81&lt;&gt;"",_xlfn.IFS($F$1="LM7 31 ClPRODUCT4 ms","LM7",$F$1="LMS1 31 ClPRODUCT4 ms","CV",$F$1="LMS2 31 ClPRODUCT4 ms","CL",$F$1="LMS5 31 ClPRODUCT4 ms","JZ",$F$1="LMS8 31 ClPRODUCT4 ms","DL",$F$1="LMS6 31 ClPRODUCT4 ms","MD",TRUE, ""),IF(AND($E$1="GENINTEGRATION 22 Attributes",$E81&lt;&gt;""),"22","")),"")</f>
        <v/>
      </c>
      <c r="H81" s="21"/>
      <c r="I81" s="21"/>
      <c r="J81" s="229"/>
      <c r="K81" s="229"/>
      <c r="L81" s="229"/>
      <c r="M81" s="229"/>
      <c r="N81" s="229"/>
      <c r="O81" s="229"/>
      <c r="P81" s="230" t="str">
        <f t="shared" si="34"/>
        <v/>
      </c>
      <c r="Q81" s="222" t="str">
        <f t="shared" si="23"/>
        <v/>
      </c>
      <c r="R81" s="230" t="str">
        <f t="shared" si="24"/>
        <v/>
      </c>
      <c r="S81" s="222" t="str">
        <f t="shared" si="25"/>
        <v/>
      </c>
      <c r="T81" s="230" t="str">
        <f t="shared" si="26"/>
        <v/>
      </c>
      <c r="U81" s="222" t="str">
        <f t="shared" si="27"/>
        <v/>
      </c>
      <c r="V81" s="230" t="str">
        <f t="shared" si="28"/>
        <v/>
      </c>
      <c r="W81" s="222" t="str">
        <f t="shared" si="29"/>
        <v/>
      </c>
      <c r="X81" s="230" t="str">
        <f t="shared" si="30"/>
        <v/>
      </c>
      <c r="Y81" s="222" t="str">
        <f t="shared" si="31"/>
        <v/>
      </c>
      <c r="Z81" s="230" t="str">
        <f t="shared" si="32"/>
        <v/>
      </c>
      <c r="AA81" s="222" t="str">
        <f t="shared" si="33"/>
        <v/>
      </c>
    </row>
    <row r="82" spans="5:27" ht="20.100000000000001" customHeight="1" x14ac:dyDescent="0.55000000000000004">
      <c r="E82" s="217" t="str" cm="1">
        <f t="array" ref="E82">IFERROR(_xlfn.IFS($E$1="GENINTEGRATION 22 Parameters",(_xlfn.IFS($F$1=$Q$1,INDEX($P$2:$P$100,MATCH(0,INDEX(COUNTIF($E$1:$E81,$P$2:$P$100)+(COUNTIF($P$2:$P$100,$P$2:$P$100)&lt;&gt;1),0,0),0)),$F$1=$S$1,INDEX($R$2:$R$100,MATCH(0,INDEX(COUNTIF($E$1:$E81,$R$2:$R$100)+(COUNTIF($R$2:$R$100,$R$2:$R$100)&lt;&gt;1),0,0),0)),$F$1=$U$1,INDEX($T$2:$T$100,MATCH(0,INDEX(COUNTIF($E$1:$E81,$T$2:$T$100)+(COUNTIF($T$2:$T$100,$T$2:$T$100)&lt;&gt;1),0,0),0)),$F$1=$W$1,INDEX($V$2:$V$100,MATCH(0,INDEX(COUNTIF($E$1:$E81,$V$2:$V$100)+(COUNTIF($V$2:$V$100,$V$2:$V$100)&lt;&gt;1),0,0),0)),$F$1=$Y$1,INDEX($X$2:$X$100,MATCH(0,INDEX(COUNTIF($E$1:$E81,$X$2:$X$100)+(COUNTIF($X$2:$X$100,$X$2:$X$100)&lt;&gt;1),0,0),0)),$F$1=$AA$1,INDEX($Z$2:$Z$100,MATCH(0,INDEX(COUNTIF($E$1:$E81,$Z$2:$Z$100)+(COUNTIF($Z$2:$Z$100,$Z$2:$Z$100)&lt;&gt;1),0,0),0)),TRUE,"")),$E$1="GENINTEGRATION 22 Attributes",INDEX($H$2:$H$100,MATCH(0,INDEX(COUNTIF($E$1:$E81,$H$2:$H$100)+(COUNTIF($H$2:$H$100,$H$2:$H$100)&lt;&gt;1),0,0),0)),TRUE,""),"")</f>
        <v/>
      </c>
      <c r="F82" s="213" t="str" cm="1">
        <f t="array" ref="F82">IFERROR(_xlfn.IFS($F$1=$Q$1,_xlfn.XLOOKUP($E82,$P$2:$P$100,Q$2:Q$100)&amp;"",$F$1=$S$1,_xlfn.XLOOKUP($E82,$R$2:$R$100,$S$2:$S$100)&amp;"",$F$1=$Y$1,_xlfn.XLOOKUP($E82,$X$2:$X$100,$Y$2:$Y$100)&amp;"",$F$1=$U$1,_xlfn.XLOOKUP($E82,$T$2:$T$100,$U$2:$U$100)&amp;"",$F$1=$W$1,_xlfn.XLOOKUP($E82,$V$2:$V$100,$W$2:$W$100)&amp;"",$F$1=$AA$1,_xlfn.XLOOKUP($E82,$Z$2:$Z$100,$AA$2:$AA$100)&amp;"",TRUE, ""),"")</f>
        <v/>
      </c>
      <c r="G82" s="215" t="str" cm="1">
        <f t="array" ref="G82">IFERROR(IF($F82&lt;&gt;"",_xlfn.IFS($F$1="LM7 31 ClPRODUCT4 ms","LM7",$F$1="LMS1 31 ClPRODUCT4 ms","CV",$F$1="LMS2 31 ClPRODUCT4 ms","CL",$F$1="LMS5 31 ClPRODUCT4 ms","JZ",$F$1="LMS8 31 ClPRODUCT4 ms","DL",$F$1="LMS6 31 ClPRODUCT4 ms","MD",TRUE, ""),IF(AND($E$1="GENINTEGRATION 22 Attributes",$E82&lt;&gt;""),"22","")),"")</f>
        <v/>
      </c>
      <c r="H82" s="21"/>
      <c r="I82" s="21"/>
      <c r="J82" s="229"/>
      <c r="K82" s="229"/>
      <c r="L82" s="229"/>
      <c r="M82" s="229"/>
      <c r="N82" s="229"/>
      <c r="O82" s="229"/>
      <c r="P82" s="230" t="str">
        <f t="shared" si="34"/>
        <v/>
      </c>
      <c r="Q82" s="222" t="str">
        <f t="shared" si="23"/>
        <v/>
      </c>
      <c r="R82" s="230" t="str">
        <f t="shared" si="24"/>
        <v/>
      </c>
      <c r="S82" s="222" t="str">
        <f t="shared" si="25"/>
        <v/>
      </c>
      <c r="T82" s="230" t="str">
        <f t="shared" si="26"/>
        <v/>
      </c>
      <c r="U82" s="222" t="str">
        <f t="shared" si="27"/>
        <v/>
      </c>
      <c r="V82" s="230" t="str">
        <f t="shared" si="28"/>
        <v/>
      </c>
      <c r="W82" s="222" t="str">
        <f t="shared" si="29"/>
        <v/>
      </c>
      <c r="X82" s="230" t="str">
        <f t="shared" si="30"/>
        <v/>
      </c>
      <c r="Y82" s="222" t="str">
        <f t="shared" si="31"/>
        <v/>
      </c>
      <c r="Z82" s="230" t="str">
        <f t="shared" si="32"/>
        <v/>
      </c>
      <c r="AA82" s="222" t="str">
        <f t="shared" si="33"/>
        <v/>
      </c>
    </row>
    <row r="83" spans="5:27" ht="20.100000000000001" customHeight="1" x14ac:dyDescent="0.55000000000000004">
      <c r="E83" s="217" t="str" cm="1">
        <f t="array" ref="E83">IFERROR(_xlfn.IFS($E$1="GENINTEGRATION 22 Parameters",(_xlfn.IFS($F$1=$Q$1,INDEX($P$2:$P$100,MATCH(0,INDEX(COUNTIF($E$1:$E82,$P$2:$P$100)+(COUNTIF($P$2:$P$100,$P$2:$P$100)&lt;&gt;1),0,0),0)),$F$1=$S$1,INDEX($R$2:$R$100,MATCH(0,INDEX(COUNTIF($E$1:$E82,$R$2:$R$100)+(COUNTIF($R$2:$R$100,$R$2:$R$100)&lt;&gt;1),0,0),0)),$F$1=$U$1,INDEX($T$2:$T$100,MATCH(0,INDEX(COUNTIF($E$1:$E82,$T$2:$T$100)+(COUNTIF($T$2:$T$100,$T$2:$T$100)&lt;&gt;1),0,0),0)),$F$1=$W$1,INDEX($V$2:$V$100,MATCH(0,INDEX(COUNTIF($E$1:$E82,$V$2:$V$100)+(COUNTIF($V$2:$V$100,$V$2:$V$100)&lt;&gt;1),0,0),0)),$F$1=$Y$1,INDEX($X$2:$X$100,MATCH(0,INDEX(COUNTIF($E$1:$E82,$X$2:$X$100)+(COUNTIF($X$2:$X$100,$X$2:$X$100)&lt;&gt;1),0,0),0)),$F$1=$AA$1,INDEX($Z$2:$Z$100,MATCH(0,INDEX(COUNTIF($E$1:$E82,$Z$2:$Z$100)+(COUNTIF($Z$2:$Z$100,$Z$2:$Z$100)&lt;&gt;1),0,0),0)),TRUE,"")),$E$1="GENINTEGRATION 22 Attributes",INDEX($H$2:$H$100,MATCH(0,INDEX(COUNTIF($E$1:$E82,$H$2:$H$100)+(COUNTIF($H$2:$H$100,$H$2:$H$100)&lt;&gt;1),0,0),0)),TRUE,""),"")</f>
        <v/>
      </c>
      <c r="F83" s="213" t="str" cm="1">
        <f t="array" ref="F83">IFERROR(_xlfn.IFS($F$1=$Q$1,_xlfn.XLOOKUP($E83,$P$2:$P$100,Q$2:Q$100)&amp;"",$F$1=$S$1,_xlfn.XLOOKUP($E83,$R$2:$R$100,$S$2:$S$100)&amp;"",$F$1=$Y$1,_xlfn.XLOOKUP($E83,$X$2:$X$100,$Y$2:$Y$100)&amp;"",$F$1=$U$1,_xlfn.XLOOKUP($E83,$T$2:$T$100,$U$2:$U$100)&amp;"",$F$1=$W$1,_xlfn.XLOOKUP($E83,$V$2:$V$100,$W$2:$W$100)&amp;"",$F$1=$AA$1,_xlfn.XLOOKUP($E83,$Z$2:$Z$100,$AA$2:$AA$100)&amp;"",TRUE, ""),"")</f>
        <v/>
      </c>
      <c r="G83" s="215" t="str" cm="1">
        <f t="array" ref="G83">IFERROR(IF($F83&lt;&gt;"",_xlfn.IFS($F$1="LM7 31 ClPRODUCT4 ms","LM7",$F$1="LMS1 31 ClPRODUCT4 ms","CV",$F$1="LMS2 31 ClPRODUCT4 ms","CL",$F$1="LMS5 31 ClPRODUCT4 ms","JZ",$F$1="LMS8 31 ClPRODUCT4 ms","DL",$F$1="LMS6 31 ClPRODUCT4 ms","MD",TRUE, ""),IF(AND($E$1="GENINTEGRATION 22 Attributes",$E83&lt;&gt;""),"22","")),"")</f>
        <v/>
      </c>
      <c r="H83" s="21"/>
      <c r="I83" s="21"/>
      <c r="J83" s="229"/>
      <c r="K83" s="229"/>
      <c r="L83" s="229"/>
      <c r="M83" s="229"/>
      <c r="N83" s="229"/>
      <c r="O83" s="229"/>
      <c r="P83" s="230" t="str">
        <f t="shared" si="34"/>
        <v/>
      </c>
      <c r="Q83" s="222" t="str">
        <f t="shared" si="23"/>
        <v/>
      </c>
      <c r="R83" s="230" t="str">
        <f t="shared" si="24"/>
        <v/>
      </c>
      <c r="S83" s="222" t="str">
        <f t="shared" si="25"/>
        <v/>
      </c>
      <c r="T83" s="230" t="str">
        <f t="shared" si="26"/>
        <v/>
      </c>
      <c r="U83" s="222" t="str">
        <f t="shared" si="27"/>
        <v/>
      </c>
      <c r="V83" s="230" t="str">
        <f t="shared" si="28"/>
        <v/>
      </c>
      <c r="W83" s="222" t="str">
        <f t="shared" si="29"/>
        <v/>
      </c>
      <c r="X83" s="230" t="str">
        <f t="shared" si="30"/>
        <v/>
      </c>
      <c r="Y83" s="222" t="str">
        <f t="shared" si="31"/>
        <v/>
      </c>
      <c r="Z83" s="230" t="str">
        <f t="shared" si="32"/>
        <v/>
      </c>
      <c r="AA83" s="222" t="str">
        <f t="shared" si="33"/>
        <v/>
      </c>
    </row>
    <row r="84" spans="5:27" ht="20.100000000000001" customHeight="1" x14ac:dyDescent="0.55000000000000004">
      <c r="E84" s="217" t="str" cm="1">
        <f t="array" ref="E84">IFERROR(_xlfn.IFS($E$1="GENINTEGRATION 22 Parameters",(_xlfn.IFS($F$1=$Q$1,INDEX($P$2:$P$100,MATCH(0,INDEX(COUNTIF($E$1:$E83,$P$2:$P$100)+(COUNTIF($P$2:$P$100,$P$2:$P$100)&lt;&gt;1),0,0),0)),$F$1=$S$1,INDEX($R$2:$R$100,MATCH(0,INDEX(COUNTIF($E$1:$E83,$R$2:$R$100)+(COUNTIF($R$2:$R$100,$R$2:$R$100)&lt;&gt;1),0,0),0)),$F$1=$U$1,INDEX($T$2:$T$100,MATCH(0,INDEX(COUNTIF($E$1:$E83,$T$2:$T$100)+(COUNTIF($T$2:$T$100,$T$2:$T$100)&lt;&gt;1),0,0),0)),$F$1=$W$1,INDEX($V$2:$V$100,MATCH(0,INDEX(COUNTIF($E$1:$E83,$V$2:$V$100)+(COUNTIF($V$2:$V$100,$V$2:$V$100)&lt;&gt;1),0,0),0)),$F$1=$Y$1,INDEX($X$2:$X$100,MATCH(0,INDEX(COUNTIF($E$1:$E83,$X$2:$X$100)+(COUNTIF($X$2:$X$100,$X$2:$X$100)&lt;&gt;1),0,0),0)),$F$1=$AA$1,INDEX($Z$2:$Z$100,MATCH(0,INDEX(COUNTIF($E$1:$E83,$Z$2:$Z$100)+(COUNTIF($Z$2:$Z$100,$Z$2:$Z$100)&lt;&gt;1),0,0),0)),TRUE,"")),$E$1="GENINTEGRATION 22 Attributes",INDEX($H$2:$H$100,MATCH(0,INDEX(COUNTIF($E$1:$E83,$H$2:$H$100)+(COUNTIF($H$2:$H$100,$H$2:$H$100)&lt;&gt;1),0,0),0)),TRUE,""),"")</f>
        <v/>
      </c>
      <c r="F84" s="213" t="str" cm="1">
        <f t="array" ref="F84">IFERROR(_xlfn.IFS($F$1=$Q$1,_xlfn.XLOOKUP($E84,$P$2:$P$100,Q$2:Q$100)&amp;"",$F$1=$S$1,_xlfn.XLOOKUP($E84,$R$2:$R$100,$S$2:$S$100)&amp;"",$F$1=$Y$1,_xlfn.XLOOKUP($E84,$X$2:$X$100,$Y$2:$Y$100)&amp;"",$F$1=$U$1,_xlfn.XLOOKUP($E84,$T$2:$T$100,$U$2:$U$100)&amp;"",$F$1=$W$1,_xlfn.XLOOKUP($E84,$V$2:$V$100,$W$2:$W$100)&amp;"",$F$1=$AA$1,_xlfn.XLOOKUP($E84,$Z$2:$Z$100,$AA$2:$AA$100)&amp;"",TRUE, ""),"")</f>
        <v/>
      </c>
      <c r="G84" s="215" t="str" cm="1">
        <f t="array" ref="G84">IFERROR(IF($F84&lt;&gt;"",_xlfn.IFS($F$1="LM7 31 ClPRODUCT4 ms","LM7",$F$1="LMS1 31 ClPRODUCT4 ms","CV",$F$1="LMS2 31 ClPRODUCT4 ms","CL",$F$1="LMS5 31 ClPRODUCT4 ms","JZ",$F$1="LMS8 31 ClPRODUCT4 ms","DL",$F$1="LMS6 31 ClPRODUCT4 ms","MD",TRUE, ""),IF(AND($E$1="GENINTEGRATION 22 Attributes",$E84&lt;&gt;""),"22","")),"")</f>
        <v/>
      </c>
      <c r="H84" s="21"/>
      <c r="I84" s="21"/>
      <c r="J84" s="229"/>
      <c r="K84" s="229"/>
      <c r="L84" s="229"/>
      <c r="M84" s="229"/>
      <c r="N84" s="229"/>
      <c r="O84" s="229"/>
      <c r="P84" s="230" t="str">
        <f t="shared" si="34"/>
        <v/>
      </c>
      <c r="Q84" s="222" t="str">
        <f t="shared" si="23"/>
        <v/>
      </c>
      <c r="R84" s="230" t="str">
        <f t="shared" si="24"/>
        <v/>
      </c>
      <c r="S84" s="222" t="str">
        <f t="shared" si="25"/>
        <v/>
      </c>
      <c r="T84" s="230" t="str">
        <f t="shared" si="26"/>
        <v/>
      </c>
      <c r="U84" s="222" t="str">
        <f t="shared" si="27"/>
        <v/>
      </c>
      <c r="V84" s="230" t="str">
        <f t="shared" si="28"/>
        <v/>
      </c>
      <c r="W84" s="222" t="str">
        <f t="shared" si="29"/>
        <v/>
      </c>
      <c r="X84" s="230" t="str">
        <f t="shared" si="30"/>
        <v/>
      </c>
      <c r="Y84" s="222" t="str">
        <f t="shared" si="31"/>
        <v/>
      </c>
      <c r="Z84" s="230" t="str">
        <f t="shared" si="32"/>
        <v/>
      </c>
      <c r="AA84" s="222" t="str">
        <f t="shared" si="33"/>
        <v/>
      </c>
    </row>
    <row r="85" spans="5:27" ht="20.100000000000001" customHeight="1" x14ac:dyDescent="0.55000000000000004">
      <c r="E85" s="217" t="str" cm="1">
        <f t="array" ref="E85">IFERROR(_xlfn.IFS($E$1="GENINTEGRATION 22 Parameters",(_xlfn.IFS($F$1=$Q$1,INDEX($P$2:$P$100,MATCH(0,INDEX(COUNTIF($E$1:$E84,$P$2:$P$100)+(COUNTIF($P$2:$P$100,$P$2:$P$100)&lt;&gt;1),0,0),0)),$F$1=$S$1,INDEX($R$2:$R$100,MATCH(0,INDEX(COUNTIF($E$1:$E84,$R$2:$R$100)+(COUNTIF($R$2:$R$100,$R$2:$R$100)&lt;&gt;1),0,0),0)),$F$1=$U$1,INDEX($T$2:$T$100,MATCH(0,INDEX(COUNTIF($E$1:$E84,$T$2:$T$100)+(COUNTIF($T$2:$T$100,$T$2:$T$100)&lt;&gt;1),0,0),0)),$F$1=$W$1,INDEX($V$2:$V$100,MATCH(0,INDEX(COUNTIF($E$1:$E84,$V$2:$V$100)+(COUNTIF($V$2:$V$100,$V$2:$V$100)&lt;&gt;1),0,0),0)),$F$1=$Y$1,INDEX($X$2:$X$100,MATCH(0,INDEX(COUNTIF($E$1:$E84,$X$2:$X$100)+(COUNTIF($X$2:$X$100,$X$2:$X$100)&lt;&gt;1),0,0),0)),$F$1=$AA$1,INDEX($Z$2:$Z$100,MATCH(0,INDEX(COUNTIF($E$1:$E84,$Z$2:$Z$100)+(COUNTIF($Z$2:$Z$100,$Z$2:$Z$100)&lt;&gt;1),0,0),0)),TRUE,"")),$E$1="GENINTEGRATION 22 Attributes",INDEX($H$2:$H$100,MATCH(0,INDEX(COUNTIF($E$1:$E84,$H$2:$H$100)+(COUNTIF($H$2:$H$100,$H$2:$H$100)&lt;&gt;1),0,0),0)),TRUE,""),"")</f>
        <v/>
      </c>
      <c r="F85" s="213" t="str" cm="1">
        <f t="array" ref="F85">IFERROR(_xlfn.IFS($F$1=$Q$1,_xlfn.XLOOKUP($E85,$P$2:$P$100,Q$2:Q$100)&amp;"",$F$1=$S$1,_xlfn.XLOOKUP($E85,$R$2:$R$100,$S$2:$S$100)&amp;"",$F$1=$Y$1,_xlfn.XLOOKUP($E85,$X$2:$X$100,$Y$2:$Y$100)&amp;"",$F$1=$U$1,_xlfn.XLOOKUP($E85,$T$2:$T$100,$U$2:$U$100)&amp;"",$F$1=$W$1,_xlfn.XLOOKUP($E85,$V$2:$V$100,$W$2:$W$100)&amp;"",$F$1=$AA$1,_xlfn.XLOOKUP($E85,$Z$2:$Z$100,$AA$2:$AA$100)&amp;"",TRUE, ""),"")</f>
        <v/>
      </c>
      <c r="G85" s="215" t="str" cm="1">
        <f t="array" ref="G85">IFERROR(IF($F85&lt;&gt;"",_xlfn.IFS($F$1="LM7 31 ClPRODUCT4 ms","LM7",$F$1="LMS1 31 ClPRODUCT4 ms","CV",$F$1="LMS2 31 ClPRODUCT4 ms","CL",$F$1="LMS5 31 ClPRODUCT4 ms","JZ",$F$1="LMS8 31 ClPRODUCT4 ms","DL",$F$1="LMS6 31 ClPRODUCT4 ms","MD",TRUE, ""),IF(AND($E$1="GENINTEGRATION 22 Attributes",$E85&lt;&gt;""),"22","")),"")</f>
        <v/>
      </c>
      <c r="H85" s="21"/>
      <c r="I85" s="21"/>
      <c r="J85" s="229"/>
      <c r="K85" s="229"/>
      <c r="L85" s="229"/>
      <c r="M85" s="229"/>
      <c r="N85" s="229"/>
      <c r="O85" s="229"/>
      <c r="P85" s="230" t="str">
        <f t="shared" si="34"/>
        <v/>
      </c>
      <c r="Q85" s="222" t="str">
        <f t="shared" si="23"/>
        <v/>
      </c>
      <c r="R85" s="230" t="str">
        <f t="shared" si="24"/>
        <v/>
      </c>
      <c r="S85" s="222" t="str">
        <f t="shared" si="25"/>
        <v/>
      </c>
      <c r="T85" s="230" t="str">
        <f t="shared" si="26"/>
        <v/>
      </c>
      <c r="U85" s="222" t="str">
        <f t="shared" si="27"/>
        <v/>
      </c>
      <c r="V85" s="230" t="str">
        <f t="shared" si="28"/>
        <v/>
      </c>
      <c r="W85" s="222" t="str">
        <f t="shared" si="29"/>
        <v/>
      </c>
      <c r="X85" s="230" t="str">
        <f t="shared" si="30"/>
        <v/>
      </c>
      <c r="Y85" s="222" t="str">
        <f t="shared" si="31"/>
        <v/>
      </c>
      <c r="Z85" s="230" t="str">
        <f t="shared" si="32"/>
        <v/>
      </c>
      <c r="AA85" s="222" t="str">
        <f t="shared" si="33"/>
        <v/>
      </c>
    </row>
    <row r="86" spans="5:27" ht="20.100000000000001" customHeight="1" x14ac:dyDescent="0.55000000000000004">
      <c r="E86" s="217" t="str" cm="1">
        <f t="array" ref="E86">IFERROR(_xlfn.IFS($E$1="GENINTEGRATION 22 Parameters",(_xlfn.IFS($F$1=$Q$1,INDEX($P$2:$P$100,MATCH(0,INDEX(COUNTIF($E$1:$E85,$P$2:$P$100)+(COUNTIF($P$2:$P$100,$P$2:$P$100)&lt;&gt;1),0,0),0)),$F$1=$S$1,INDEX($R$2:$R$100,MATCH(0,INDEX(COUNTIF($E$1:$E85,$R$2:$R$100)+(COUNTIF($R$2:$R$100,$R$2:$R$100)&lt;&gt;1),0,0),0)),$F$1=$U$1,INDEX($T$2:$T$100,MATCH(0,INDEX(COUNTIF($E$1:$E85,$T$2:$T$100)+(COUNTIF($T$2:$T$100,$T$2:$T$100)&lt;&gt;1),0,0),0)),$F$1=$W$1,INDEX($V$2:$V$100,MATCH(0,INDEX(COUNTIF($E$1:$E85,$V$2:$V$100)+(COUNTIF($V$2:$V$100,$V$2:$V$100)&lt;&gt;1),0,0),0)),$F$1=$Y$1,INDEX($X$2:$X$100,MATCH(0,INDEX(COUNTIF($E$1:$E85,$X$2:$X$100)+(COUNTIF($X$2:$X$100,$X$2:$X$100)&lt;&gt;1),0,0),0)),$F$1=$AA$1,INDEX($Z$2:$Z$100,MATCH(0,INDEX(COUNTIF($E$1:$E85,$Z$2:$Z$100)+(COUNTIF($Z$2:$Z$100,$Z$2:$Z$100)&lt;&gt;1),0,0),0)),TRUE,"")),$E$1="GENINTEGRATION 22 Attributes",INDEX($H$2:$H$100,MATCH(0,INDEX(COUNTIF($E$1:$E85,$H$2:$H$100)+(COUNTIF($H$2:$H$100,$H$2:$H$100)&lt;&gt;1),0,0),0)),TRUE,""),"")</f>
        <v/>
      </c>
      <c r="F86" s="213" t="str" cm="1">
        <f t="array" ref="F86">IFERROR(_xlfn.IFS($F$1=$Q$1,_xlfn.XLOOKUP($E86,$P$2:$P$100,Q$2:Q$100)&amp;"",$F$1=$S$1,_xlfn.XLOOKUP($E86,$R$2:$R$100,$S$2:$S$100)&amp;"",$F$1=$Y$1,_xlfn.XLOOKUP($E86,$X$2:$X$100,$Y$2:$Y$100)&amp;"",$F$1=$U$1,_xlfn.XLOOKUP($E86,$T$2:$T$100,$U$2:$U$100)&amp;"",$F$1=$W$1,_xlfn.XLOOKUP($E86,$V$2:$V$100,$W$2:$W$100)&amp;"",$F$1=$AA$1,_xlfn.XLOOKUP($E86,$Z$2:$Z$100,$AA$2:$AA$100)&amp;"",TRUE, ""),"")</f>
        <v/>
      </c>
      <c r="G86" s="215" t="str" cm="1">
        <f t="array" ref="G86">IFERROR(IF($F86&lt;&gt;"",_xlfn.IFS($F$1="LM7 31 ClPRODUCT4 ms","LM7",$F$1="LMS1 31 ClPRODUCT4 ms","CV",$F$1="LMS2 31 ClPRODUCT4 ms","CL",$F$1="LMS5 31 ClPRODUCT4 ms","JZ",$F$1="LMS8 31 ClPRODUCT4 ms","DL",$F$1="LMS6 31 ClPRODUCT4 ms","MD",TRUE, ""),IF(AND($E$1="GENINTEGRATION 22 Attributes",$E86&lt;&gt;""),"22","")),"")</f>
        <v/>
      </c>
      <c r="H86" s="21"/>
      <c r="I86" s="21"/>
      <c r="J86" s="229"/>
      <c r="K86" s="229"/>
      <c r="L86" s="229"/>
      <c r="M86" s="229"/>
      <c r="N86" s="229"/>
      <c r="O86" s="229"/>
      <c r="P86" s="230" t="str">
        <f t="shared" si="34"/>
        <v/>
      </c>
      <c r="Q86" s="222" t="str">
        <f t="shared" si="23"/>
        <v/>
      </c>
      <c r="R86" s="230" t="str">
        <f t="shared" si="24"/>
        <v/>
      </c>
      <c r="S86" s="222" t="str">
        <f t="shared" si="25"/>
        <v/>
      </c>
      <c r="T86" s="230" t="str">
        <f t="shared" si="26"/>
        <v/>
      </c>
      <c r="U86" s="222" t="str">
        <f t="shared" si="27"/>
        <v/>
      </c>
      <c r="V86" s="230" t="str">
        <f t="shared" si="28"/>
        <v/>
      </c>
      <c r="W86" s="222" t="str">
        <f t="shared" si="29"/>
        <v/>
      </c>
      <c r="X86" s="230" t="str">
        <f t="shared" si="30"/>
        <v/>
      </c>
      <c r="Y86" s="222" t="str">
        <f t="shared" si="31"/>
        <v/>
      </c>
      <c r="Z86" s="230" t="str">
        <f t="shared" si="32"/>
        <v/>
      </c>
      <c r="AA86" s="222" t="str">
        <f t="shared" si="33"/>
        <v/>
      </c>
    </row>
    <row r="87" spans="5:27" ht="20.100000000000001" customHeight="1" x14ac:dyDescent="0.55000000000000004">
      <c r="E87" s="217" t="str" cm="1">
        <f t="array" ref="E87">IFERROR(_xlfn.IFS($E$1="GENINTEGRATION 22 Parameters",(_xlfn.IFS($F$1=$Q$1,INDEX($P$2:$P$100,MATCH(0,INDEX(COUNTIF($E$1:$E86,$P$2:$P$100)+(COUNTIF($P$2:$P$100,$P$2:$P$100)&lt;&gt;1),0,0),0)),$F$1=$S$1,INDEX($R$2:$R$100,MATCH(0,INDEX(COUNTIF($E$1:$E86,$R$2:$R$100)+(COUNTIF($R$2:$R$100,$R$2:$R$100)&lt;&gt;1),0,0),0)),$F$1=$U$1,INDEX($T$2:$T$100,MATCH(0,INDEX(COUNTIF($E$1:$E86,$T$2:$T$100)+(COUNTIF($T$2:$T$100,$T$2:$T$100)&lt;&gt;1),0,0),0)),$F$1=$W$1,INDEX($V$2:$V$100,MATCH(0,INDEX(COUNTIF($E$1:$E86,$V$2:$V$100)+(COUNTIF($V$2:$V$100,$V$2:$V$100)&lt;&gt;1),0,0),0)),$F$1=$Y$1,INDEX($X$2:$X$100,MATCH(0,INDEX(COUNTIF($E$1:$E86,$X$2:$X$100)+(COUNTIF($X$2:$X$100,$X$2:$X$100)&lt;&gt;1),0,0),0)),$F$1=$AA$1,INDEX($Z$2:$Z$100,MATCH(0,INDEX(COUNTIF($E$1:$E86,$Z$2:$Z$100)+(COUNTIF($Z$2:$Z$100,$Z$2:$Z$100)&lt;&gt;1),0,0),0)),TRUE,"")),$E$1="GENINTEGRATION 22 Attributes",INDEX($H$2:$H$100,MATCH(0,INDEX(COUNTIF($E$1:$E86,$H$2:$H$100)+(COUNTIF($H$2:$H$100,$H$2:$H$100)&lt;&gt;1),0,0),0)),TRUE,""),"")</f>
        <v/>
      </c>
      <c r="F87" s="213" t="str" cm="1">
        <f t="array" ref="F87">IFERROR(_xlfn.IFS($F$1=$Q$1,_xlfn.XLOOKUP($E87,$P$2:$P$100,Q$2:Q$100)&amp;"",$F$1=$S$1,_xlfn.XLOOKUP($E87,$R$2:$R$100,$S$2:$S$100)&amp;"",$F$1=$Y$1,_xlfn.XLOOKUP($E87,$X$2:$X$100,$Y$2:$Y$100)&amp;"",$F$1=$U$1,_xlfn.XLOOKUP($E87,$T$2:$T$100,$U$2:$U$100)&amp;"",$F$1=$W$1,_xlfn.XLOOKUP($E87,$V$2:$V$100,$W$2:$W$100)&amp;"",$F$1=$AA$1,_xlfn.XLOOKUP($E87,$Z$2:$Z$100,$AA$2:$AA$100)&amp;"",TRUE, ""),"")</f>
        <v/>
      </c>
      <c r="G87" s="215" t="str" cm="1">
        <f t="array" ref="G87">IFERROR(IF($F87&lt;&gt;"",_xlfn.IFS($F$1="LM7 31 ClPRODUCT4 ms","LM7",$F$1="LMS1 31 ClPRODUCT4 ms","CV",$F$1="LMS2 31 ClPRODUCT4 ms","CL",$F$1="LMS5 31 ClPRODUCT4 ms","JZ",$F$1="LMS8 31 ClPRODUCT4 ms","DL",$F$1="LMS6 31 ClPRODUCT4 ms","MD",TRUE, ""),IF(AND($E$1="GENINTEGRATION 22 Attributes",$E87&lt;&gt;""),"22","")),"")</f>
        <v/>
      </c>
      <c r="H87" s="21"/>
      <c r="I87" s="21"/>
      <c r="J87" s="229"/>
      <c r="K87" s="229"/>
      <c r="L87" s="229"/>
      <c r="M87" s="229"/>
      <c r="N87" s="229"/>
      <c r="O87" s="229"/>
      <c r="P87" s="230" t="str">
        <f t="shared" si="34"/>
        <v/>
      </c>
      <c r="Q87" s="222" t="str">
        <f t="shared" si="23"/>
        <v/>
      </c>
      <c r="R87" s="230" t="str">
        <f t="shared" si="24"/>
        <v/>
      </c>
      <c r="S87" s="222" t="str">
        <f t="shared" si="25"/>
        <v/>
      </c>
      <c r="T87" s="230" t="str">
        <f t="shared" si="26"/>
        <v/>
      </c>
      <c r="U87" s="222" t="str">
        <f t="shared" si="27"/>
        <v/>
      </c>
      <c r="V87" s="230" t="str">
        <f t="shared" si="28"/>
        <v/>
      </c>
      <c r="W87" s="222" t="str">
        <f t="shared" si="29"/>
        <v/>
      </c>
      <c r="X87" s="230" t="str">
        <f t="shared" si="30"/>
        <v/>
      </c>
      <c r="Y87" s="222" t="str">
        <f t="shared" si="31"/>
        <v/>
      </c>
      <c r="Z87" s="230" t="str">
        <f t="shared" si="32"/>
        <v/>
      </c>
      <c r="AA87" s="222" t="str">
        <f t="shared" si="33"/>
        <v/>
      </c>
    </row>
    <row r="88" spans="5:27" ht="20.100000000000001" customHeight="1" x14ac:dyDescent="0.55000000000000004">
      <c r="E88" s="217" t="str" cm="1">
        <f t="array" ref="E88">IFERROR(_xlfn.IFS($E$1="GENINTEGRATION 22 Parameters",(_xlfn.IFS($F$1=$Q$1,INDEX($P$2:$P$100,MATCH(0,INDEX(COUNTIF($E$1:$E87,$P$2:$P$100)+(COUNTIF($P$2:$P$100,$P$2:$P$100)&lt;&gt;1),0,0),0)),$F$1=$S$1,INDEX($R$2:$R$100,MATCH(0,INDEX(COUNTIF($E$1:$E87,$R$2:$R$100)+(COUNTIF($R$2:$R$100,$R$2:$R$100)&lt;&gt;1),0,0),0)),$F$1=$U$1,INDEX($T$2:$T$100,MATCH(0,INDEX(COUNTIF($E$1:$E87,$T$2:$T$100)+(COUNTIF($T$2:$T$100,$T$2:$T$100)&lt;&gt;1),0,0),0)),$F$1=$W$1,INDEX($V$2:$V$100,MATCH(0,INDEX(COUNTIF($E$1:$E87,$V$2:$V$100)+(COUNTIF($V$2:$V$100,$V$2:$V$100)&lt;&gt;1),0,0),0)),$F$1=$Y$1,INDEX($X$2:$X$100,MATCH(0,INDEX(COUNTIF($E$1:$E87,$X$2:$X$100)+(COUNTIF($X$2:$X$100,$X$2:$X$100)&lt;&gt;1),0,0),0)),$F$1=$AA$1,INDEX($Z$2:$Z$100,MATCH(0,INDEX(COUNTIF($E$1:$E87,$Z$2:$Z$100)+(COUNTIF($Z$2:$Z$100,$Z$2:$Z$100)&lt;&gt;1),0,0),0)),TRUE,"")),$E$1="GENINTEGRATION 22 Attributes",INDEX($H$2:$H$100,MATCH(0,INDEX(COUNTIF($E$1:$E87,$H$2:$H$100)+(COUNTIF($H$2:$H$100,$H$2:$H$100)&lt;&gt;1),0,0),0)),TRUE,""),"")</f>
        <v/>
      </c>
      <c r="F88" s="213" t="str" cm="1">
        <f t="array" ref="F88">IFERROR(_xlfn.IFS($F$1=$Q$1,_xlfn.XLOOKUP($E88,$P$2:$P$100,Q$2:Q$100)&amp;"",$F$1=$S$1,_xlfn.XLOOKUP($E88,$R$2:$R$100,$S$2:$S$100)&amp;"",$F$1=$Y$1,_xlfn.XLOOKUP($E88,$X$2:$X$100,$Y$2:$Y$100)&amp;"",$F$1=$U$1,_xlfn.XLOOKUP($E88,$T$2:$T$100,$U$2:$U$100)&amp;"",$F$1=$W$1,_xlfn.XLOOKUP($E88,$V$2:$V$100,$W$2:$W$100)&amp;"",$F$1=$AA$1,_xlfn.XLOOKUP($E88,$Z$2:$Z$100,$AA$2:$AA$100)&amp;"",TRUE, ""),"")</f>
        <v/>
      </c>
      <c r="G88" s="215" t="str" cm="1">
        <f t="array" ref="G88">IFERROR(IF($F88&lt;&gt;"",_xlfn.IFS($F$1="LM7 31 ClPRODUCT4 ms","LM7",$F$1="LMS1 31 ClPRODUCT4 ms","CV",$F$1="LMS2 31 ClPRODUCT4 ms","CL",$F$1="LMS5 31 ClPRODUCT4 ms","JZ",$F$1="LMS8 31 ClPRODUCT4 ms","DL",$F$1="LMS6 31 ClPRODUCT4 ms","MD",TRUE, ""),IF(AND($E$1="GENINTEGRATION 22 Attributes",$E88&lt;&gt;""),"22","")),"")</f>
        <v/>
      </c>
      <c r="H88" s="21"/>
      <c r="I88" s="21"/>
      <c r="J88" s="229"/>
      <c r="K88" s="229"/>
      <c r="L88" s="229"/>
      <c r="M88" s="229"/>
      <c r="N88" s="229"/>
      <c r="O88" s="229"/>
      <c r="P88" s="230" t="str">
        <f t="shared" si="34"/>
        <v/>
      </c>
      <c r="Q88" s="222" t="str">
        <f t="shared" si="23"/>
        <v/>
      </c>
      <c r="R88" s="230" t="str">
        <f t="shared" si="24"/>
        <v/>
      </c>
      <c r="S88" s="222" t="str">
        <f t="shared" si="25"/>
        <v/>
      </c>
      <c r="T88" s="230" t="str">
        <f t="shared" si="26"/>
        <v/>
      </c>
      <c r="U88" s="222" t="str">
        <f t="shared" si="27"/>
        <v/>
      </c>
      <c r="V88" s="230" t="str">
        <f t="shared" si="28"/>
        <v/>
      </c>
      <c r="W88" s="222" t="str">
        <f t="shared" si="29"/>
        <v/>
      </c>
      <c r="X88" s="230" t="str">
        <f t="shared" si="30"/>
        <v/>
      </c>
      <c r="Y88" s="222" t="str">
        <f t="shared" si="31"/>
        <v/>
      </c>
      <c r="Z88" s="230" t="str">
        <f t="shared" si="32"/>
        <v/>
      </c>
      <c r="AA88" s="222" t="str">
        <f t="shared" si="33"/>
        <v/>
      </c>
    </row>
    <row r="89" spans="5:27" ht="20.100000000000001" customHeight="1" x14ac:dyDescent="0.55000000000000004">
      <c r="E89" s="217" t="str" cm="1">
        <f t="array" ref="E89">IFERROR(_xlfn.IFS($E$1="GENINTEGRATION 22 Parameters",(_xlfn.IFS($F$1=$Q$1,INDEX($P$2:$P$100,MATCH(0,INDEX(COUNTIF($E$1:$E88,$P$2:$P$100)+(COUNTIF($P$2:$P$100,$P$2:$P$100)&lt;&gt;1),0,0),0)),$F$1=$S$1,INDEX($R$2:$R$100,MATCH(0,INDEX(COUNTIF($E$1:$E88,$R$2:$R$100)+(COUNTIF($R$2:$R$100,$R$2:$R$100)&lt;&gt;1),0,0),0)),$F$1=$U$1,INDEX($T$2:$T$100,MATCH(0,INDEX(COUNTIF($E$1:$E88,$T$2:$T$100)+(COUNTIF($T$2:$T$100,$T$2:$T$100)&lt;&gt;1),0,0),0)),$F$1=$W$1,INDEX($V$2:$V$100,MATCH(0,INDEX(COUNTIF($E$1:$E88,$V$2:$V$100)+(COUNTIF($V$2:$V$100,$V$2:$V$100)&lt;&gt;1),0,0),0)),$F$1=$Y$1,INDEX($X$2:$X$100,MATCH(0,INDEX(COUNTIF($E$1:$E88,$X$2:$X$100)+(COUNTIF($X$2:$X$100,$X$2:$X$100)&lt;&gt;1),0,0),0)),$F$1=$AA$1,INDEX($Z$2:$Z$100,MATCH(0,INDEX(COUNTIF($E$1:$E88,$Z$2:$Z$100)+(COUNTIF($Z$2:$Z$100,$Z$2:$Z$100)&lt;&gt;1),0,0),0)),TRUE,"")),$E$1="GENINTEGRATION 22 Attributes",INDEX($H$2:$H$100,MATCH(0,INDEX(COUNTIF($E$1:$E88,$H$2:$H$100)+(COUNTIF($H$2:$H$100,$H$2:$H$100)&lt;&gt;1),0,0),0)),TRUE,""),"")</f>
        <v/>
      </c>
      <c r="F89" s="213" t="str" cm="1">
        <f t="array" ref="F89">IFERROR(_xlfn.IFS($F$1=$Q$1,_xlfn.XLOOKUP($E89,$P$2:$P$100,Q$2:Q$100)&amp;"",$F$1=$S$1,_xlfn.XLOOKUP($E89,$R$2:$R$100,$S$2:$S$100)&amp;"",$F$1=$Y$1,_xlfn.XLOOKUP($E89,$X$2:$X$100,$Y$2:$Y$100)&amp;"",$F$1=$U$1,_xlfn.XLOOKUP($E89,$T$2:$T$100,$U$2:$U$100)&amp;"",$F$1=$W$1,_xlfn.XLOOKUP($E89,$V$2:$V$100,$W$2:$W$100)&amp;"",$F$1=$AA$1,_xlfn.XLOOKUP($E89,$Z$2:$Z$100,$AA$2:$AA$100)&amp;"",TRUE, ""),"")</f>
        <v/>
      </c>
      <c r="G89" s="215" t="str" cm="1">
        <f t="array" ref="G89">IFERROR(IF($F89&lt;&gt;"",_xlfn.IFS($F$1="LM7 31 ClPRODUCT4 ms","LM7",$F$1="LMS1 31 ClPRODUCT4 ms","CV",$F$1="LMS2 31 ClPRODUCT4 ms","CL",$F$1="LMS5 31 ClPRODUCT4 ms","JZ",$F$1="LMS8 31 ClPRODUCT4 ms","DL",$F$1="LMS6 31 ClPRODUCT4 ms","MD",TRUE, ""),IF(AND($E$1="GENINTEGRATION 22 Attributes",$E89&lt;&gt;""),"22","")),"")</f>
        <v/>
      </c>
      <c r="H89" s="21"/>
      <c r="I89" s="21"/>
      <c r="J89" s="229"/>
      <c r="K89" s="229"/>
      <c r="L89" s="229"/>
      <c r="M89" s="229"/>
      <c r="N89" s="229"/>
      <c r="O89" s="229"/>
      <c r="P89" s="230" t="str">
        <f t="shared" si="34"/>
        <v/>
      </c>
      <c r="Q89" s="222" t="str">
        <f t="shared" si="23"/>
        <v/>
      </c>
      <c r="R89" s="230" t="str">
        <f t="shared" si="24"/>
        <v/>
      </c>
      <c r="S89" s="222" t="str">
        <f t="shared" si="25"/>
        <v/>
      </c>
      <c r="T89" s="230" t="str">
        <f t="shared" si="26"/>
        <v/>
      </c>
      <c r="U89" s="222" t="str">
        <f t="shared" si="27"/>
        <v/>
      </c>
      <c r="V89" s="230" t="str">
        <f t="shared" si="28"/>
        <v/>
      </c>
      <c r="W89" s="222" t="str">
        <f t="shared" si="29"/>
        <v/>
      </c>
      <c r="X89" s="230" t="str">
        <f t="shared" si="30"/>
        <v/>
      </c>
      <c r="Y89" s="222" t="str">
        <f t="shared" si="31"/>
        <v/>
      </c>
      <c r="Z89" s="230" t="str">
        <f t="shared" si="32"/>
        <v/>
      </c>
      <c r="AA89" s="222" t="str">
        <f t="shared" si="33"/>
        <v/>
      </c>
    </row>
    <row r="90" spans="5:27" ht="20.100000000000001" customHeight="1" x14ac:dyDescent="0.55000000000000004">
      <c r="E90" s="217" t="str" cm="1">
        <f t="array" ref="E90">IFERROR(_xlfn.IFS($E$1="GENINTEGRATION 22 Parameters",(_xlfn.IFS($F$1=$Q$1,INDEX($P$2:$P$100,MATCH(0,INDEX(COUNTIF($E$1:$E89,$P$2:$P$100)+(COUNTIF($P$2:$P$100,$P$2:$P$100)&lt;&gt;1),0,0),0)),$F$1=$S$1,INDEX($R$2:$R$100,MATCH(0,INDEX(COUNTIF($E$1:$E89,$R$2:$R$100)+(COUNTIF($R$2:$R$100,$R$2:$R$100)&lt;&gt;1),0,0),0)),$F$1=$U$1,INDEX($T$2:$T$100,MATCH(0,INDEX(COUNTIF($E$1:$E89,$T$2:$T$100)+(COUNTIF($T$2:$T$100,$T$2:$T$100)&lt;&gt;1),0,0),0)),$F$1=$W$1,INDEX($V$2:$V$100,MATCH(0,INDEX(COUNTIF($E$1:$E89,$V$2:$V$100)+(COUNTIF($V$2:$V$100,$V$2:$V$100)&lt;&gt;1),0,0),0)),$F$1=$Y$1,INDEX($X$2:$X$100,MATCH(0,INDEX(COUNTIF($E$1:$E89,$X$2:$X$100)+(COUNTIF($X$2:$X$100,$X$2:$X$100)&lt;&gt;1),0,0),0)),$F$1=$AA$1,INDEX($Z$2:$Z$100,MATCH(0,INDEX(COUNTIF($E$1:$E89,$Z$2:$Z$100)+(COUNTIF($Z$2:$Z$100,$Z$2:$Z$100)&lt;&gt;1),0,0),0)),TRUE,"")),$E$1="GENINTEGRATION 22 Attributes",INDEX($H$2:$H$100,MATCH(0,INDEX(COUNTIF($E$1:$E89,$H$2:$H$100)+(COUNTIF($H$2:$H$100,$H$2:$H$100)&lt;&gt;1),0,0),0)),TRUE,""),"")</f>
        <v/>
      </c>
      <c r="F90" s="213" t="str" cm="1">
        <f t="array" ref="F90">IFERROR(_xlfn.IFS($F$1=$Q$1,_xlfn.XLOOKUP($E90,$P$2:$P$100,Q$2:Q$100)&amp;"",$F$1=$S$1,_xlfn.XLOOKUP($E90,$R$2:$R$100,$S$2:$S$100)&amp;"",$F$1=$Y$1,_xlfn.XLOOKUP($E90,$X$2:$X$100,$Y$2:$Y$100)&amp;"",$F$1=$U$1,_xlfn.XLOOKUP($E90,$T$2:$T$100,$U$2:$U$100)&amp;"",$F$1=$W$1,_xlfn.XLOOKUP($E90,$V$2:$V$100,$W$2:$W$100)&amp;"",$F$1=$AA$1,_xlfn.XLOOKUP($E90,$Z$2:$Z$100,$AA$2:$AA$100)&amp;"",TRUE, ""),"")</f>
        <v/>
      </c>
      <c r="G90" s="215" t="str" cm="1">
        <f t="array" ref="G90">IFERROR(IF($F90&lt;&gt;"",_xlfn.IFS($F$1="LM7 31 ClPRODUCT4 ms","LM7",$F$1="LMS1 31 ClPRODUCT4 ms","CV",$F$1="LMS2 31 ClPRODUCT4 ms","CL",$F$1="LMS5 31 ClPRODUCT4 ms","JZ",$F$1="LMS8 31 ClPRODUCT4 ms","DL",$F$1="LMS6 31 ClPRODUCT4 ms","MD",TRUE, ""),IF(AND($E$1="GENINTEGRATION 22 Attributes",$E90&lt;&gt;""),"22","")),"")</f>
        <v/>
      </c>
      <c r="H90" s="21"/>
      <c r="I90" s="21"/>
      <c r="J90" s="229"/>
      <c r="K90" s="229"/>
      <c r="L90" s="229"/>
      <c r="M90" s="229"/>
      <c r="N90" s="229"/>
      <c r="O90" s="229"/>
      <c r="P90" s="230" t="str">
        <f t="shared" si="34"/>
        <v/>
      </c>
      <c r="Q90" s="222" t="str">
        <f t="shared" si="23"/>
        <v/>
      </c>
      <c r="R90" s="230" t="str">
        <f t="shared" si="24"/>
        <v/>
      </c>
      <c r="S90" s="222" t="str">
        <f t="shared" si="25"/>
        <v/>
      </c>
      <c r="T90" s="230" t="str">
        <f t="shared" si="26"/>
        <v/>
      </c>
      <c r="U90" s="222" t="str">
        <f t="shared" si="27"/>
        <v/>
      </c>
      <c r="V90" s="230" t="str">
        <f t="shared" si="28"/>
        <v/>
      </c>
      <c r="W90" s="222" t="str">
        <f t="shared" si="29"/>
        <v/>
      </c>
      <c r="X90" s="230" t="str">
        <f t="shared" si="30"/>
        <v/>
      </c>
      <c r="Y90" s="222" t="str">
        <f t="shared" si="31"/>
        <v/>
      </c>
      <c r="Z90" s="230" t="str">
        <f t="shared" si="32"/>
        <v/>
      </c>
      <c r="AA90" s="222" t="str">
        <f t="shared" si="33"/>
        <v/>
      </c>
    </row>
    <row r="91" spans="5:27" ht="20.100000000000001" customHeight="1" x14ac:dyDescent="0.55000000000000004">
      <c r="E91" s="217" t="str" cm="1">
        <f t="array" ref="E91">IFERROR(_xlfn.IFS($E$1="GENINTEGRATION 22 Parameters",(_xlfn.IFS($F$1=$Q$1,INDEX($P$2:$P$100,MATCH(0,INDEX(COUNTIF($E$1:$E90,$P$2:$P$100)+(COUNTIF($P$2:$P$100,$P$2:$P$100)&lt;&gt;1),0,0),0)),$F$1=$S$1,INDEX($R$2:$R$100,MATCH(0,INDEX(COUNTIF($E$1:$E90,$R$2:$R$100)+(COUNTIF($R$2:$R$100,$R$2:$R$100)&lt;&gt;1),0,0),0)),$F$1=$U$1,INDEX($T$2:$T$100,MATCH(0,INDEX(COUNTIF($E$1:$E90,$T$2:$T$100)+(COUNTIF($T$2:$T$100,$T$2:$T$100)&lt;&gt;1),0,0),0)),$F$1=$W$1,INDEX($V$2:$V$100,MATCH(0,INDEX(COUNTIF($E$1:$E90,$V$2:$V$100)+(COUNTIF($V$2:$V$100,$V$2:$V$100)&lt;&gt;1),0,0),0)),$F$1=$Y$1,INDEX($X$2:$X$100,MATCH(0,INDEX(COUNTIF($E$1:$E90,$X$2:$X$100)+(COUNTIF($X$2:$X$100,$X$2:$X$100)&lt;&gt;1),0,0),0)),$F$1=$AA$1,INDEX($Z$2:$Z$100,MATCH(0,INDEX(COUNTIF($E$1:$E90,$Z$2:$Z$100)+(COUNTIF($Z$2:$Z$100,$Z$2:$Z$100)&lt;&gt;1),0,0),0)),TRUE,"")),$E$1="GENINTEGRATION 22 Attributes",INDEX($H$2:$H$100,MATCH(0,INDEX(COUNTIF($E$1:$E90,$H$2:$H$100)+(COUNTIF($H$2:$H$100,$H$2:$H$100)&lt;&gt;1),0,0),0)),TRUE,""),"")</f>
        <v/>
      </c>
      <c r="F91" s="213" t="str" cm="1">
        <f t="array" ref="F91">IFERROR(_xlfn.IFS($F$1=$Q$1,_xlfn.XLOOKUP($E91,$P$2:$P$100,Q$2:Q$100)&amp;"",$F$1=$S$1,_xlfn.XLOOKUP($E91,$R$2:$R$100,$S$2:$S$100)&amp;"",$F$1=$Y$1,_xlfn.XLOOKUP($E91,$X$2:$X$100,$Y$2:$Y$100)&amp;"",$F$1=$U$1,_xlfn.XLOOKUP($E91,$T$2:$T$100,$U$2:$U$100)&amp;"",$F$1=$W$1,_xlfn.XLOOKUP($E91,$V$2:$V$100,$W$2:$W$100)&amp;"",$F$1=$AA$1,_xlfn.XLOOKUP($E91,$Z$2:$Z$100,$AA$2:$AA$100)&amp;"",TRUE, ""),"")</f>
        <v/>
      </c>
      <c r="G91" s="215" t="str" cm="1">
        <f t="array" ref="G91">IFERROR(IF($F91&lt;&gt;"",_xlfn.IFS($F$1="LM7 31 ClPRODUCT4 ms","LM7",$F$1="LMS1 31 ClPRODUCT4 ms","CV",$F$1="LMS2 31 ClPRODUCT4 ms","CL",$F$1="LMS5 31 ClPRODUCT4 ms","JZ",$F$1="LMS8 31 ClPRODUCT4 ms","DL",$F$1="LMS6 31 ClPRODUCT4 ms","MD",TRUE, ""),IF(AND($E$1="GENINTEGRATION 22 Attributes",$E91&lt;&gt;""),"22","")),"")</f>
        <v/>
      </c>
      <c r="H91" s="21"/>
      <c r="I91" s="21"/>
      <c r="J91" s="229"/>
      <c r="K91" s="229"/>
      <c r="L91" s="229"/>
      <c r="M91" s="229"/>
      <c r="N91" s="229"/>
      <c r="O91" s="229"/>
      <c r="P91" s="230" t="str">
        <f t="shared" si="34"/>
        <v/>
      </c>
      <c r="Q91" s="222" t="str">
        <f t="shared" si="23"/>
        <v/>
      </c>
      <c r="R91" s="230" t="str">
        <f t="shared" si="24"/>
        <v/>
      </c>
      <c r="S91" s="222" t="str">
        <f t="shared" si="25"/>
        <v/>
      </c>
      <c r="T91" s="230" t="str">
        <f t="shared" si="26"/>
        <v/>
      </c>
      <c r="U91" s="222" t="str">
        <f t="shared" si="27"/>
        <v/>
      </c>
      <c r="V91" s="230" t="str">
        <f t="shared" si="28"/>
        <v/>
      </c>
      <c r="W91" s="222" t="str">
        <f t="shared" si="29"/>
        <v/>
      </c>
      <c r="X91" s="230" t="str">
        <f t="shared" si="30"/>
        <v/>
      </c>
      <c r="Y91" s="222" t="str">
        <f t="shared" si="31"/>
        <v/>
      </c>
      <c r="Z91" s="230" t="str">
        <f t="shared" si="32"/>
        <v/>
      </c>
      <c r="AA91" s="222" t="str">
        <f t="shared" si="33"/>
        <v/>
      </c>
    </row>
    <row r="92" spans="5:27" ht="20.100000000000001" customHeight="1" x14ac:dyDescent="0.55000000000000004">
      <c r="E92" s="217" t="str" cm="1">
        <f t="array" ref="E92">IFERROR(_xlfn.IFS($E$1="GENINTEGRATION 22 Parameters",(_xlfn.IFS($F$1=$Q$1,INDEX($P$2:$P$100,MATCH(0,INDEX(COUNTIF($E$1:$E91,$P$2:$P$100)+(COUNTIF($P$2:$P$100,$P$2:$P$100)&lt;&gt;1),0,0),0)),$F$1=$S$1,INDEX($R$2:$R$100,MATCH(0,INDEX(COUNTIF($E$1:$E91,$R$2:$R$100)+(COUNTIF($R$2:$R$100,$R$2:$R$100)&lt;&gt;1),0,0),0)),$F$1=$U$1,INDEX($T$2:$T$100,MATCH(0,INDEX(COUNTIF($E$1:$E91,$T$2:$T$100)+(COUNTIF($T$2:$T$100,$T$2:$T$100)&lt;&gt;1),0,0),0)),$F$1=$W$1,INDEX($V$2:$V$100,MATCH(0,INDEX(COUNTIF($E$1:$E91,$V$2:$V$100)+(COUNTIF($V$2:$V$100,$V$2:$V$100)&lt;&gt;1),0,0),0)),$F$1=$Y$1,INDEX($X$2:$X$100,MATCH(0,INDEX(COUNTIF($E$1:$E91,$X$2:$X$100)+(COUNTIF($X$2:$X$100,$X$2:$X$100)&lt;&gt;1),0,0),0)),$F$1=$AA$1,INDEX($Z$2:$Z$100,MATCH(0,INDEX(COUNTIF($E$1:$E91,$Z$2:$Z$100)+(COUNTIF($Z$2:$Z$100,$Z$2:$Z$100)&lt;&gt;1),0,0),0)),TRUE,"")),$E$1="GENINTEGRATION 22 Attributes",INDEX($H$2:$H$100,MATCH(0,INDEX(COUNTIF($E$1:$E91,$H$2:$H$100)+(COUNTIF($H$2:$H$100,$H$2:$H$100)&lt;&gt;1),0,0),0)),TRUE,""),"")</f>
        <v/>
      </c>
      <c r="F92" s="213" t="str" cm="1">
        <f t="array" ref="F92">IFERROR(_xlfn.IFS($F$1=$Q$1,_xlfn.XLOOKUP($E92,$P$2:$P$100,Q$2:Q$100)&amp;"",$F$1=$S$1,_xlfn.XLOOKUP($E92,$R$2:$R$100,$S$2:$S$100)&amp;"",$F$1=$Y$1,_xlfn.XLOOKUP($E92,$X$2:$X$100,$Y$2:$Y$100)&amp;"",$F$1=$U$1,_xlfn.XLOOKUP($E92,$T$2:$T$100,$U$2:$U$100)&amp;"",$F$1=$W$1,_xlfn.XLOOKUP($E92,$V$2:$V$100,$W$2:$W$100)&amp;"",$F$1=$AA$1,_xlfn.XLOOKUP($E92,$Z$2:$Z$100,$AA$2:$AA$100)&amp;"",TRUE, ""),"")</f>
        <v/>
      </c>
      <c r="G92" s="215" t="str" cm="1">
        <f t="array" ref="G92">IFERROR(IF($F92&lt;&gt;"",_xlfn.IFS($F$1="LM7 31 ClPRODUCT4 ms","LM7",$F$1="LMS1 31 ClPRODUCT4 ms","CV",$F$1="LMS2 31 ClPRODUCT4 ms","CL",$F$1="LMS5 31 ClPRODUCT4 ms","JZ",$F$1="LMS8 31 ClPRODUCT4 ms","DL",$F$1="LMS6 31 ClPRODUCT4 ms","MD",TRUE, ""),IF(AND($E$1="GENINTEGRATION 22 Attributes",$E92&lt;&gt;""),"22","")),"")</f>
        <v/>
      </c>
      <c r="H92" s="21"/>
      <c r="I92" s="21"/>
      <c r="J92" s="229"/>
      <c r="K92" s="229"/>
      <c r="L92" s="229"/>
      <c r="M92" s="229"/>
      <c r="N92" s="229"/>
      <c r="O92" s="229"/>
      <c r="P92" s="230" t="str">
        <f t="shared" si="34"/>
        <v/>
      </c>
      <c r="Q92" s="222" t="str">
        <f t="shared" si="23"/>
        <v/>
      </c>
      <c r="R92" s="230" t="str">
        <f t="shared" si="24"/>
        <v/>
      </c>
      <c r="S92" s="222" t="str">
        <f t="shared" si="25"/>
        <v/>
      </c>
      <c r="T92" s="230" t="str">
        <f t="shared" si="26"/>
        <v/>
      </c>
      <c r="U92" s="222" t="str">
        <f t="shared" si="27"/>
        <v/>
      </c>
      <c r="V92" s="230" t="str">
        <f t="shared" si="28"/>
        <v/>
      </c>
      <c r="W92" s="222" t="str">
        <f t="shared" si="29"/>
        <v/>
      </c>
      <c r="X92" s="230" t="str">
        <f t="shared" si="30"/>
        <v/>
      </c>
      <c r="Y92" s="222" t="str">
        <f t="shared" si="31"/>
        <v/>
      </c>
      <c r="Z92" s="230" t="str">
        <f t="shared" si="32"/>
        <v/>
      </c>
      <c r="AA92" s="222" t="str">
        <f t="shared" si="33"/>
        <v/>
      </c>
    </row>
    <row r="93" spans="5:27" ht="20.100000000000001" customHeight="1" x14ac:dyDescent="0.55000000000000004">
      <c r="E93" s="217" t="str" cm="1">
        <f t="array" ref="E93">IFERROR(_xlfn.IFS($E$1="GENINTEGRATION 22 Parameters",(_xlfn.IFS($F$1=$Q$1,INDEX($P$2:$P$100,MATCH(0,INDEX(COUNTIF($E$1:$E92,$P$2:$P$100)+(COUNTIF($P$2:$P$100,$P$2:$P$100)&lt;&gt;1),0,0),0)),$F$1=$S$1,INDEX($R$2:$R$100,MATCH(0,INDEX(COUNTIF($E$1:$E92,$R$2:$R$100)+(COUNTIF($R$2:$R$100,$R$2:$R$100)&lt;&gt;1),0,0),0)),$F$1=$U$1,INDEX($T$2:$T$100,MATCH(0,INDEX(COUNTIF($E$1:$E92,$T$2:$T$100)+(COUNTIF($T$2:$T$100,$T$2:$T$100)&lt;&gt;1),0,0),0)),$F$1=$W$1,INDEX($V$2:$V$100,MATCH(0,INDEX(COUNTIF($E$1:$E92,$V$2:$V$100)+(COUNTIF($V$2:$V$100,$V$2:$V$100)&lt;&gt;1),0,0),0)),$F$1=$Y$1,INDEX($X$2:$X$100,MATCH(0,INDEX(COUNTIF($E$1:$E92,$X$2:$X$100)+(COUNTIF($X$2:$X$100,$X$2:$X$100)&lt;&gt;1),0,0),0)),$F$1=$AA$1,INDEX($Z$2:$Z$100,MATCH(0,INDEX(COUNTIF($E$1:$E92,$Z$2:$Z$100)+(COUNTIF($Z$2:$Z$100,$Z$2:$Z$100)&lt;&gt;1),0,0),0)),TRUE,"")),$E$1="GENINTEGRATION 22 Attributes",INDEX($H$2:$H$100,MATCH(0,INDEX(COUNTIF($E$1:$E92,$H$2:$H$100)+(COUNTIF($H$2:$H$100,$H$2:$H$100)&lt;&gt;1),0,0),0)),TRUE,""),"")</f>
        <v/>
      </c>
      <c r="F93" s="213" t="str" cm="1">
        <f t="array" ref="F93">IFERROR(_xlfn.IFS($F$1=$Q$1,_xlfn.XLOOKUP($E93,$P$2:$P$100,Q$2:Q$100)&amp;"",$F$1=$S$1,_xlfn.XLOOKUP($E93,$R$2:$R$100,$S$2:$S$100)&amp;"",$F$1=$Y$1,_xlfn.XLOOKUP($E93,$X$2:$X$100,$Y$2:$Y$100)&amp;"",$F$1=$U$1,_xlfn.XLOOKUP($E93,$T$2:$T$100,$U$2:$U$100)&amp;"",$F$1=$W$1,_xlfn.XLOOKUP($E93,$V$2:$V$100,$W$2:$W$100)&amp;"",$F$1=$AA$1,_xlfn.XLOOKUP($E93,$Z$2:$Z$100,$AA$2:$AA$100)&amp;"",TRUE, ""),"")</f>
        <v/>
      </c>
      <c r="G93" s="215" t="str" cm="1">
        <f t="array" ref="G93">IFERROR(IF($F93&lt;&gt;"",_xlfn.IFS($F$1="LM7 31 ClPRODUCT4 ms","LM7",$F$1="LMS1 31 ClPRODUCT4 ms","CV",$F$1="LMS2 31 ClPRODUCT4 ms","CL",$F$1="LMS5 31 ClPRODUCT4 ms","JZ",$F$1="LMS8 31 ClPRODUCT4 ms","DL",$F$1="LMS6 31 ClPRODUCT4 ms","MD",TRUE, ""),IF(AND($E$1="GENINTEGRATION 22 Attributes",$E93&lt;&gt;""),"22","")),"")</f>
        <v/>
      </c>
      <c r="H93" s="21"/>
      <c r="I93" s="21"/>
      <c r="J93" s="229"/>
      <c r="K93" s="229"/>
      <c r="L93" s="229"/>
      <c r="M93" s="229"/>
      <c r="N93" s="229"/>
      <c r="O93" s="229"/>
      <c r="P93" s="230" t="str">
        <f t="shared" si="34"/>
        <v/>
      </c>
      <c r="Q93" s="222" t="str">
        <f t="shared" si="23"/>
        <v/>
      </c>
      <c r="R93" s="230" t="str">
        <f t="shared" si="24"/>
        <v/>
      </c>
      <c r="S93" s="222" t="str">
        <f t="shared" si="25"/>
        <v/>
      </c>
      <c r="T93" s="230" t="str">
        <f t="shared" si="26"/>
        <v/>
      </c>
      <c r="U93" s="222" t="str">
        <f t="shared" si="27"/>
        <v/>
      </c>
      <c r="V93" s="230" t="str">
        <f t="shared" si="28"/>
        <v/>
      </c>
      <c r="W93" s="222" t="str">
        <f t="shared" si="29"/>
        <v/>
      </c>
      <c r="X93" s="230" t="str">
        <f t="shared" si="30"/>
        <v/>
      </c>
      <c r="Y93" s="222" t="str">
        <f t="shared" si="31"/>
        <v/>
      </c>
      <c r="Z93" s="230" t="str">
        <f t="shared" si="32"/>
        <v/>
      </c>
      <c r="AA93" s="222" t="str">
        <f t="shared" si="33"/>
        <v/>
      </c>
    </row>
    <row r="94" spans="5:27" ht="20.100000000000001" customHeight="1" x14ac:dyDescent="0.55000000000000004">
      <c r="E94" s="217" t="str" cm="1">
        <f t="array" ref="E94">IFERROR(_xlfn.IFS($E$1="GENINTEGRATION 22 Parameters",(_xlfn.IFS($F$1=$Q$1,INDEX($P$2:$P$100,MATCH(0,INDEX(COUNTIF($E$1:$E93,$P$2:$P$100)+(COUNTIF($P$2:$P$100,$P$2:$P$100)&lt;&gt;1),0,0),0)),$F$1=$S$1,INDEX($R$2:$R$100,MATCH(0,INDEX(COUNTIF($E$1:$E93,$R$2:$R$100)+(COUNTIF($R$2:$R$100,$R$2:$R$100)&lt;&gt;1),0,0),0)),$F$1=$U$1,INDEX($T$2:$T$100,MATCH(0,INDEX(COUNTIF($E$1:$E93,$T$2:$T$100)+(COUNTIF($T$2:$T$100,$T$2:$T$100)&lt;&gt;1),0,0),0)),$F$1=$W$1,INDEX($V$2:$V$100,MATCH(0,INDEX(COUNTIF($E$1:$E93,$V$2:$V$100)+(COUNTIF($V$2:$V$100,$V$2:$V$100)&lt;&gt;1),0,0),0)),$F$1=$Y$1,INDEX($X$2:$X$100,MATCH(0,INDEX(COUNTIF($E$1:$E93,$X$2:$X$100)+(COUNTIF($X$2:$X$100,$X$2:$X$100)&lt;&gt;1),0,0),0)),$F$1=$AA$1,INDEX($Z$2:$Z$100,MATCH(0,INDEX(COUNTIF($E$1:$E93,$Z$2:$Z$100)+(COUNTIF($Z$2:$Z$100,$Z$2:$Z$100)&lt;&gt;1),0,0),0)),TRUE,"")),$E$1="GENINTEGRATION 22 Attributes",INDEX($H$2:$H$100,MATCH(0,INDEX(COUNTIF($E$1:$E93,$H$2:$H$100)+(COUNTIF($H$2:$H$100,$H$2:$H$100)&lt;&gt;1),0,0),0)),TRUE,""),"")</f>
        <v/>
      </c>
      <c r="F94" s="213" t="str" cm="1">
        <f t="array" ref="F94">IFERROR(_xlfn.IFS($F$1=$Q$1,_xlfn.XLOOKUP($E94,$P$2:$P$100,Q$2:Q$100)&amp;"",$F$1=$S$1,_xlfn.XLOOKUP($E94,$R$2:$R$100,$S$2:$S$100)&amp;"",$F$1=$Y$1,_xlfn.XLOOKUP($E94,$X$2:$X$100,$Y$2:$Y$100)&amp;"",$F$1=$U$1,_xlfn.XLOOKUP($E94,$T$2:$T$100,$U$2:$U$100)&amp;"",$F$1=$W$1,_xlfn.XLOOKUP($E94,$V$2:$V$100,$W$2:$W$100)&amp;"",$F$1=$AA$1,_xlfn.XLOOKUP($E94,$Z$2:$Z$100,$AA$2:$AA$100)&amp;"",TRUE, ""),"")</f>
        <v/>
      </c>
      <c r="G94" s="215" t="str" cm="1">
        <f t="array" ref="G94">IFERROR(IF($F94&lt;&gt;"",_xlfn.IFS($F$1="LM7 31 ClPRODUCT4 ms","LM7",$F$1="LMS1 31 ClPRODUCT4 ms","CV",$F$1="LMS2 31 ClPRODUCT4 ms","CL",$F$1="LMS5 31 ClPRODUCT4 ms","JZ",$F$1="LMS8 31 ClPRODUCT4 ms","DL",$F$1="LMS6 31 ClPRODUCT4 ms","MD",TRUE, ""),IF(AND($E$1="GENINTEGRATION 22 Attributes",$E94&lt;&gt;""),"22","")),"")</f>
        <v/>
      </c>
      <c r="H94" s="21"/>
      <c r="I94" s="21"/>
      <c r="J94" s="229"/>
      <c r="K94" s="229"/>
      <c r="L94" s="229"/>
      <c r="M94" s="229"/>
      <c r="N94" s="229"/>
      <c r="O94" s="229"/>
      <c r="P94" s="230" t="str">
        <f t="shared" si="34"/>
        <v/>
      </c>
      <c r="Q94" s="222" t="str">
        <f t="shared" si="23"/>
        <v/>
      </c>
      <c r="R94" s="230" t="str">
        <f t="shared" si="24"/>
        <v/>
      </c>
      <c r="S94" s="222" t="str">
        <f t="shared" si="25"/>
        <v/>
      </c>
      <c r="T94" s="230" t="str">
        <f t="shared" si="26"/>
        <v/>
      </c>
      <c r="U94" s="222" t="str">
        <f t="shared" si="27"/>
        <v/>
      </c>
      <c r="V94" s="230" t="str">
        <f t="shared" si="28"/>
        <v/>
      </c>
      <c r="W94" s="222" t="str">
        <f t="shared" si="29"/>
        <v/>
      </c>
      <c r="X94" s="230" t="str">
        <f t="shared" si="30"/>
        <v/>
      </c>
      <c r="Y94" s="222" t="str">
        <f t="shared" si="31"/>
        <v/>
      </c>
      <c r="Z94" s="230" t="str">
        <f t="shared" si="32"/>
        <v/>
      </c>
      <c r="AA94" s="222" t="str">
        <f t="shared" si="33"/>
        <v/>
      </c>
    </row>
    <row r="95" spans="5:27" ht="20.100000000000001" customHeight="1" x14ac:dyDescent="0.55000000000000004">
      <c r="E95" s="217" t="str" cm="1">
        <f t="array" ref="E95">IFERROR(_xlfn.IFS($E$1="GENINTEGRATION 22 Parameters",(_xlfn.IFS($F$1=$Q$1,INDEX($P$2:$P$100,MATCH(0,INDEX(COUNTIF($E$1:$E94,$P$2:$P$100)+(COUNTIF($P$2:$P$100,$P$2:$P$100)&lt;&gt;1),0,0),0)),$F$1=$S$1,INDEX($R$2:$R$100,MATCH(0,INDEX(COUNTIF($E$1:$E94,$R$2:$R$100)+(COUNTIF($R$2:$R$100,$R$2:$R$100)&lt;&gt;1),0,0),0)),$F$1=$U$1,INDEX($T$2:$T$100,MATCH(0,INDEX(COUNTIF($E$1:$E94,$T$2:$T$100)+(COUNTIF($T$2:$T$100,$T$2:$T$100)&lt;&gt;1),0,0),0)),$F$1=$W$1,INDEX($V$2:$V$100,MATCH(0,INDEX(COUNTIF($E$1:$E94,$V$2:$V$100)+(COUNTIF($V$2:$V$100,$V$2:$V$100)&lt;&gt;1),0,0),0)),$F$1=$Y$1,INDEX($X$2:$X$100,MATCH(0,INDEX(COUNTIF($E$1:$E94,$X$2:$X$100)+(COUNTIF($X$2:$X$100,$X$2:$X$100)&lt;&gt;1),0,0),0)),$F$1=$AA$1,INDEX($Z$2:$Z$100,MATCH(0,INDEX(COUNTIF($E$1:$E94,$Z$2:$Z$100)+(COUNTIF($Z$2:$Z$100,$Z$2:$Z$100)&lt;&gt;1),0,0),0)),TRUE,"")),$E$1="GENINTEGRATION 22 Attributes",INDEX($H$2:$H$100,MATCH(0,INDEX(COUNTIF($E$1:$E94,$H$2:$H$100)+(COUNTIF($H$2:$H$100,$H$2:$H$100)&lt;&gt;1),0,0),0)),TRUE,""),"")</f>
        <v/>
      </c>
      <c r="F95" s="213" t="str" cm="1">
        <f t="array" ref="F95">IFERROR(_xlfn.IFS($F$1=$Q$1,_xlfn.XLOOKUP($E95,$P$2:$P$100,Q$2:Q$100)&amp;"",$F$1=$S$1,_xlfn.XLOOKUP($E95,$R$2:$R$100,$S$2:$S$100)&amp;"",$F$1=$Y$1,_xlfn.XLOOKUP($E95,$X$2:$X$100,$Y$2:$Y$100)&amp;"",$F$1=$U$1,_xlfn.XLOOKUP($E95,$T$2:$T$100,$U$2:$U$100)&amp;"",$F$1=$W$1,_xlfn.XLOOKUP($E95,$V$2:$V$100,$W$2:$W$100)&amp;"",$F$1=$AA$1,_xlfn.XLOOKUP($E95,$Z$2:$Z$100,$AA$2:$AA$100)&amp;"",TRUE, ""),"")</f>
        <v/>
      </c>
      <c r="G95" s="215" t="str" cm="1">
        <f t="array" ref="G95">IFERROR(IF($F95&lt;&gt;"",_xlfn.IFS($F$1="LM7 31 ClPRODUCT4 ms","LM7",$F$1="LMS1 31 ClPRODUCT4 ms","CV",$F$1="LMS2 31 ClPRODUCT4 ms","CL",$F$1="LMS5 31 ClPRODUCT4 ms","JZ",$F$1="LMS8 31 ClPRODUCT4 ms","DL",$F$1="LMS6 31 ClPRODUCT4 ms","MD",TRUE, ""),IF(AND($E$1="GENINTEGRATION 22 Attributes",$E95&lt;&gt;""),"22","")),"")</f>
        <v/>
      </c>
      <c r="H95" s="21"/>
      <c r="I95" s="21"/>
      <c r="J95" s="229"/>
      <c r="K95" s="229"/>
      <c r="L95" s="229"/>
      <c r="M95" s="229"/>
      <c r="N95" s="229"/>
      <c r="O95" s="229"/>
      <c r="P95" s="230" t="str">
        <f t="shared" si="34"/>
        <v/>
      </c>
      <c r="Q95" s="222" t="str">
        <f t="shared" si="23"/>
        <v/>
      </c>
      <c r="R95" s="230" t="str">
        <f t="shared" si="24"/>
        <v/>
      </c>
      <c r="S95" s="222" t="str">
        <f t="shared" si="25"/>
        <v/>
      </c>
      <c r="T95" s="230" t="str">
        <f t="shared" si="26"/>
        <v/>
      </c>
      <c r="U95" s="222" t="str">
        <f t="shared" si="27"/>
        <v/>
      </c>
      <c r="V95" s="230" t="str">
        <f t="shared" si="28"/>
        <v/>
      </c>
      <c r="W95" s="222" t="str">
        <f t="shared" si="29"/>
        <v/>
      </c>
      <c r="X95" s="230" t="str">
        <f t="shared" si="30"/>
        <v/>
      </c>
      <c r="Y95" s="222" t="str">
        <f t="shared" si="31"/>
        <v/>
      </c>
      <c r="Z95" s="230" t="str">
        <f t="shared" si="32"/>
        <v/>
      </c>
      <c r="AA95" s="222" t="str">
        <f t="shared" si="33"/>
        <v/>
      </c>
    </row>
    <row r="96" spans="5:27" ht="20.100000000000001" customHeight="1" x14ac:dyDescent="0.55000000000000004">
      <c r="E96" s="217" t="str" cm="1">
        <f t="array" ref="E96">IFERROR(_xlfn.IFS($E$1="GENINTEGRATION 22 Parameters",(_xlfn.IFS($F$1=$Q$1,INDEX($P$2:$P$100,MATCH(0,INDEX(COUNTIF($E$1:$E95,$P$2:$P$100)+(COUNTIF($P$2:$P$100,$P$2:$P$100)&lt;&gt;1),0,0),0)),$F$1=$S$1,INDEX($R$2:$R$100,MATCH(0,INDEX(COUNTIF($E$1:$E95,$R$2:$R$100)+(COUNTIF($R$2:$R$100,$R$2:$R$100)&lt;&gt;1),0,0),0)),$F$1=$U$1,INDEX($T$2:$T$100,MATCH(0,INDEX(COUNTIF($E$1:$E95,$T$2:$T$100)+(COUNTIF($T$2:$T$100,$T$2:$T$100)&lt;&gt;1),0,0),0)),$F$1=$W$1,INDEX($V$2:$V$100,MATCH(0,INDEX(COUNTIF($E$1:$E95,$V$2:$V$100)+(COUNTIF($V$2:$V$100,$V$2:$V$100)&lt;&gt;1),0,0),0)),$F$1=$Y$1,INDEX($X$2:$X$100,MATCH(0,INDEX(COUNTIF($E$1:$E95,$X$2:$X$100)+(COUNTIF($X$2:$X$100,$X$2:$X$100)&lt;&gt;1),0,0),0)),$F$1=$AA$1,INDEX($Z$2:$Z$100,MATCH(0,INDEX(COUNTIF($E$1:$E95,$Z$2:$Z$100)+(COUNTIF($Z$2:$Z$100,$Z$2:$Z$100)&lt;&gt;1),0,0),0)),TRUE,"")),$E$1="GENINTEGRATION 22 Attributes",INDEX($H$2:$H$100,MATCH(0,INDEX(COUNTIF($E$1:$E95,$H$2:$H$100)+(COUNTIF($H$2:$H$100,$H$2:$H$100)&lt;&gt;1),0,0),0)),TRUE,""),"")</f>
        <v/>
      </c>
      <c r="F96" s="213" t="str" cm="1">
        <f t="array" ref="F96">IFERROR(_xlfn.IFS($F$1=$Q$1,_xlfn.XLOOKUP($E96,$P$2:$P$100,Q$2:Q$100)&amp;"",$F$1=$S$1,_xlfn.XLOOKUP($E96,$R$2:$R$100,$S$2:$S$100)&amp;"",$F$1=$Y$1,_xlfn.XLOOKUP($E96,$X$2:$X$100,$Y$2:$Y$100)&amp;"",$F$1=$U$1,_xlfn.XLOOKUP($E96,$T$2:$T$100,$U$2:$U$100)&amp;"",$F$1=$W$1,_xlfn.XLOOKUP($E96,$V$2:$V$100,$W$2:$W$100)&amp;"",$F$1=$AA$1,_xlfn.XLOOKUP($E96,$Z$2:$Z$100,$AA$2:$AA$100)&amp;"",TRUE, ""),"")</f>
        <v/>
      </c>
      <c r="G96" s="215" t="str" cm="1">
        <f t="array" ref="G96">IFERROR(IF($F96&lt;&gt;"",_xlfn.IFS($F$1="LM7 31 ClPRODUCT4 ms","LM7",$F$1="LMS1 31 ClPRODUCT4 ms","CV",$F$1="LMS2 31 ClPRODUCT4 ms","CL",$F$1="LMS5 31 ClPRODUCT4 ms","JZ",$F$1="LMS8 31 ClPRODUCT4 ms","DL",$F$1="LMS6 31 ClPRODUCT4 ms","MD",TRUE, ""),IF(AND($E$1="GENINTEGRATION 22 Attributes",$E96&lt;&gt;""),"22","")),"")</f>
        <v/>
      </c>
      <c r="H96" s="21"/>
      <c r="I96" s="21"/>
      <c r="J96" s="229"/>
      <c r="K96" s="229"/>
      <c r="L96" s="229"/>
      <c r="M96" s="229"/>
      <c r="N96" s="229"/>
      <c r="O96" s="229"/>
      <c r="P96" s="230" t="str">
        <f t="shared" si="34"/>
        <v/>
      </c>
      <c r="Q96" s="222" t="str">
        <f t="shared" si="23"/>
        <v/>
      </c>
      <c r="R96" s="230" t="str">
        <f t="shared" si="24"/>
        <v/>
      </c>
      <c r="S96" s="222" t="str">
        <f t="shared" si="25"/>
        <v/>
      </c>
      <c r="T96" s="230" t="str">
        <f t="shared" si="26"/>
        <v/>
      </c>
      <c r="U96" s="222" t="str">
        <f t="shared" si="27"/>
        <v/>
      </c>
      <c r="V96" s="230" t="str">
        <f t="shared" si="28"/>
        <v/>
      </c>
      <c r="W96" s="222" t="str">
        <f t="shared" si="29"/>
        <v/>
      </c>
      <c r="X96" s="230" t="str">
        <f t="shared" si="30"/>
        <v/>
      </c>
      <c r="Y96" s="222" t="str">
        <f t="shared" si="31"/>
        <v/>
      </c>
      <c r="Z96" s="230" t="str">
        <f t="shared" si="32"/>
        <v/>
      </c>
      <c r="AA96" s="222" t="str">
        <f t="shared" si="33"/>
        <v/>
      </c>
    </row>
    <row r="97" spans="5:27" ht="20.100000000000001" customHeight="1" x14ac:dyDescent="0.55000000000000004">
      <c r="E97" s="217" t="str" cm="1">
        <f t="array" ref="E97">IFERROR(_xlfn.IFS($E$1="GENINTEGRATION 22 Parameters",(_xlfn.IFS($F$1=$Q$1,INDEX($P$2:$P$100,MATCH(0,INDEX(COUNTIF($E$1:$E96,$P$2:$P$100)+(COUNTIF($P$2:$P$100,$P$2:$P$100)&lt;&gt;1),0,0),0)),$F$1=$S$1,INDEX($R$2:$R$100,MATCH(0,INDEX(COUNTIF($E$1:$E96,$R$2:$R$100)+(COUNTIF($R$2:$R$100,$R$2:$R$100)&lt;&gt;1),0,0),0)),$F$1=$U$1,INDEX($T$2:$T$100,MATCH(0,INDEX(COUNTIF($E$1:$E96,$T$2:$T$100)+(COUNTIF($T$2:$T$100,$T$2:$T$100)&lt;&gt;1),0,0),0)),$F$1=$W$1,INDEX($V$2:$V$100,MATCH(0,INDEX(COUNTIF($E$1:$E96,$V$2:$V$100)+(COUNTIF($V$2:$V$100,$V$2:$V$100)&lt;&gt;1),0,0),0)),$F$1=$Y$1,INDEX($X$2:$X$100,MATCH(0,INDEX(COUNTIF($E$1:$E96,$X$2:$X$100)+(COUNTIF($X$2:$X$100,$X$2:$X$100)&lt;&gt;1),0,0),0)),$F$1=$AA$1,INDEX($Z$2:$Z$100,MATCH(0,INDEX(COUNTIF($E$1:$E96,$Z$2:$Z$100)+(COUNTIF($Z$2:$Z$100,$Z$2:$Z$100)&lt;&gt;1),0,0),0)),TRUE,"")),$E$1="GENINTEGRATION 22 Attributes",INDEX($H$2:$H$100,MATCH(0,INDEX(COUNTIF($E$1:$E96,$H$2:$H$100)+(COUNTIF($H$2:$H$100,$H$2:$H$100)&lt;&gt;1),0,0),0)),TRUE,""),"")</f>
        <v/>
      </c>
      <c r="F97" s="213" t="str" cm="1">
        <f t="array" ref="F97">IFERROR(_xlfn.IFS($F$1=$Q$1,_xlfn.XLOOKUP($E97,$P$2:$P$100,Q$2:Q$100)&amp;"",$F$1=$S$1,_xlfn.XLOOKUP($E97,$R$2:$R$100,$S$2:$S$100)&amp;"",$F$1=$Y$1,_xlfn.XLOOKUP($E97,$X$2:$X$100,$Y$2:$Y$100)&amp;"",$F$1=$U$1,_xlfn.XLOOKUP($E97,$T$2:$T$100,$U$2:$U$100)&amp;"",$F$1=$W$1,_xlfn.XLOOKUP($E97,$V$2:$V$100,$W$2:$W$100)&amp;"",$F$1=$AA$1,_xlfn.XLOOKUP($E97,$Z$2:$Z$100,$AA$2:$AA$100)&amp;"",TRUE, ""),"")</f>
        <v/>
      </c>
      <c r="G97" s="215" t="str" cm="1">
        <f t="array" ref="G97">IFERROR(IF($F97&lt;&gt;"",_xlfn.IFS($F$1="LM7 31 ClPRODUCT4 ms","LM7",$F$1="LMS1 31 ClPRODUCT4 ms","CV",$F$1="LMS2 31 ClPRODUCT4 ms","CL",$F$1="LMS5 31 ClPRODUCT4 ms","JZ",$F$1="LMS8 31 ClPRODUCT4 ms","DL",$F$1="LMS6 31 ClPRODUCT4 ms","MD",TRUE, ""),IF(AND($E$1="GENINTEGRATION 22 Attributes",$E97&lt;&gt;""),"22","")),"")</f>
        <v/>
      </c>
      <c r="H97" s="21"/>
      <c r="I97" s="21"/>
      <c r="J97" s="229"/>
      <c r="K97" s="229"/>
      <c r="L97" s="229"/>
      <c r="M97" s="229"/>
      <c r="N97" s="229"/>
      <c r="O97" s="229"/>
      <c r="P97" s="230" t="str">
        <f t="shared" si="34"/>
        <v/>
      </c>
      <c r="Q97" s="222" t="str">
        <f t="shared" si="23"/>
        <v/>
      </c>
      <c r="R97" s="230" t="str">
        <f t="shared" si="24"/>
        <v/>
      </c>
      <c r="S97" s="222" t="str">
        <f t="shared" si="25"/>
        <v/>
      </c>
      <c r="T97" s="230" t="str">
        <f t="shared" si="26"/>
        <v/>
      </c>
      <c r="U97" s="222" t="str">
        <f t="shared" si="27"/>
        <v/>
      </c>
      <c r="V97" s="230" t="str">
        <f t="shared" si="28"/>
        <v/>
      </c>
      <c r="W97" s="222" t="str">
        <f t="shared" si="29"/>
        <v/>
      </c>
      <c r="X97" s="230" t="str">
        <f t="shared" si="30"/>
        <v/>
      </c>
      <c r="Y97" s="222" t="str">
        <f t="shared" si="31"/>
        <v/>
      </c>
      <c r="Z97" s="230" t="str">
        <f t="shared" si="32"/>
        <v/>
      </c>
      <c r="AA97" s="222" t="str">
        <f t="shared" si="33"/>
        <v/>
      </c>
    </row>
    <row r="98" spans="5:27" ht="20.100000000000001" customHeight="1" x14ac:dyDescent="0.55000000000000004">
      <c r="E98" s="217" t="str" cm="1">
        <f t="array" ref="E98">IFERROR(_xlfn.IFS($E$1="GENINTEGRATION 22 Parameters",(_xlfn.IFS($F$1=$Q$1,INDEX($P$2:$P$100,MATCH(0,INDEX(COUNTIF($E$1:$E97,$P$2:$P$100)+(COUNTIF($P$2:$P$100,$P$2:$P$100)&lt;&gt;1),0,0),0)),$F$1=$S$1,INDEX($R$2:$R$100,MATCH(0,INDEX(COUNTIF($E$1:$E97,$R$2:$R$100)+(COUNTIF($R$2:$R$100,$R$2:$R$100)&lt;&gt;1),0,0),0)),$F$1=$U$1,INDEX($T$2:$T$100,MATCH(0,INDEX(COUNTIF($E$1:$E97,$T$2:$T$100)+(COUNTIF($T$2:$T$100,$T$2:$T$100)&lt;&gt;1),0,0),0)),$F$1=$W$1,INDEX($V$2:$V$100,MATCH(0,INDEX(COUNTIF($E$1:$E97,$V$2:$V$100)+(COUNTIF($V$2:$V$100,$V$2:$V$100)&lt;&gt;1),0,0),0)),$F$1=$Y$1,INDEX($X$2:$X$100,MATCH(0,INDEX(COUNTIF($E$1:$E97,$X$2:$X$100)+(COUNTIF($X$2:$X$100,$X$2:$X$100)&lt;&gt;1),0,0),0)),$F$1=$AA$1,INDEX($Z$2:$Z$100,MATCH(0,INDEX(COUNTIF($E$1:$E97,$Z$2:$Z$100)+(COUNTIF($Z$2:$Z$100,$Z$2:$Z$100)&lt;&gt;1),0,0),0)),TRUE,"")),$E$1="GENINTEGRATION 22 Attributes",INDEX($H$2:$H$100,MATCH(0,INDEX(COUNTIF($E$1:$E97,$H$2:$H$100)+(COUNTIF($H$2:$H$100,$H$2:$H$100)&lt;&gt;1),0,0),0)),TRUE,""),"")</f>
        <v/>
      </c>
      <c r="F98" s="213" t="str" cm="1">
        <f t="array" ref="F98">IFERROR(_xlfn.IFS($F$1=$Q$1,_xlfn.XLOOKUP($E98,$P$2:$P$100,Q$2:Q$100)&amp;"",$F$1=$S$1,_xlfn.XLOOKUP($E98,$R$2:$R$100,$S$2:$S$100)&amp;"",$F$1=$Y$1,_xlfn.XLOOKUP($E98,$X$2:$X$100,$Y$2:$Y$100)&amp;"",$F$1=$U$1,_xlfn.XLOOKUP($E98,$T$2:$T$100,$U$2:$U$100)&amp;"",$F$1=$W$1,_xlfn.XLOOKUP($E98,$V$2:$V$100,$W$2:$W$100)&amp;"",$F$1=$AA$1,_xlfn.XLOOKUP($E98,$Z$2:$Z$100,$AA$2:$AA$100)&amp;"",TRUE, ""),"")</f>
        <v/>
      </c>
      <c r="G98" s="215" t="str" cm="1">
        <f t="array" ref="G98">IFERROR(IF($F98&lt;&gt;"",_xlfn.IFS($F$1="LM7 31 ClPRODUCT4 ms","LM7",$F$1="LMS1 31 ClPRODUCT4 ms","CV",$F$1="LMS2 31 ClPRODUCT4 ms","CL",$F$1="LMS5 31 ClPRODUCT4 ms","JZ",$F$1="LMS8 31 ClPRODUCT4 ms","DL",$F$1="LMS6 31 ClPRODUCT4 ms","MD",TRUE, ""),IF(AND($E$1="GENINTEGRATION 22 Attributes",$E98&lt;&gt;""),"22","")),"")</f>
        <v/>
      </c>
      <c r="H98" s="21"/>
      <c r="I98" s="21"/>
      <c r="J98" s="229"/>
      <c r="K98" s="229"/>
      <c r="L98" s="229"/>
      <c r="M98" s="229"/>
      <c r="N98" s="229"/>
      <c r="O98" s="229"/>
      <c r="P98" s="230" t="str">
        <f t="shared" si="34"/>
        <v/>
      </c>
      <c r="Q98" s="222" t="str">
        <f t="shared" si="23"/>
        <v/>
      </c>
      <c r="R98" s="230" t="str">
        <f t="shared" ref="R98:R100" si="35">IF(AND($H98&lt;&gt;"",S98&lt;&gt;""),$H98,"")</f>
        <v/>
      </c>
      <c r="S98" s="222" t="str">
        <f t="shared" si="25"/>
        <v/>
      </c>
      <c r="T98" s="230" t="str">
        <f t="shared" ref="T98:T100" si="36">IF(AND($H98&lt;&gt;"",U98&lt;&gt;""),$H98,"")</f>
        <v/>
      </c>
      <c r="U98" s="222" t="str">
        <f t="shared" si="27"/>
        <v/>
      </c>
      <c r="V98" s="230" t="str">
        <f t="shared" ref="V98:V100" si="37">IF(AND($H98&lt;&gt;"",W98&lt;&gt;""),$H98,"")</f>
        <v/>
      </c>
      <c r="W98" s="222" t="str">
        <f t="shared" si="29"/>
        <v/>
      </c>
      <c r="X98" s="230" t="str">
        <f t="shared" ref="X98:X100" si="38">IF(AND($H98&lt;&gt;"",Y98&lt;&gt;""),$H98,"")</f>
        <v/>
      </c>
      <c r="Y98" s="222" t="str">
        <f t="shared" si="31"/>
        <v/>
      </c>
      <c r="Z98" s="230" t="str">
        <f t="shared" si="32"/>
        <v/>
      </c>
      <c r="AA98" s="222" t="str">
        <f t="shared" si="33"/>
        <v/>
      </c>
    </row>
    <row r="99" spans="5:27" ht="20.100000000000001" customHeight="1" x14ac:dyDescent="0.55000000000000004">
      <c r="E99" s="217" t="str" cm="1">
        <f t="array" ref="E99">IFERROR(_xlfn.IFS($E$1="GENINTEGRATION 22 Parameters",(_xlfn.IFS($F$1=$Q$1,INDEX($P$2:$P$100,MATCH(0,INDEX(COUNTIF($E$1:$E98,$P$2:$P$100)+(COUNTIF($P$2:$P$100,$P$2:$P$100)&lt;&gt;1),0,0),0)),$F$1=$S$1,INDEX($R$2:$R$100,MATCH(0,INDEX(COUNTIF($E$1:$E98,$R$2:$R$100)+(COUNTIF($R$2:$R$100,$R$2:$R$100)&lt;&gt;1),0,0),0)),$F$1=$U$1,INDEX($T$2:$T$100,MATCH(0,INDEX(COUNTIF($E$1:$E98,$T$2:$T$100)+(COUNTIF($T$2:$T$100,$T$2:$T$100)&lt;&gt;1),0,0),0)),$F$1=$W$1,INDEX($V$2:$V$100,MATCH(0,INDEX(COUNTIF($E$1:$E98,$V$2:$V$100)+(COUNTIF($V$2:$V$100,$V$2:$V$100)&lt;&gt;1),0,0),0)),$F$1=$Y$1,INDEX($X$2:$X$100,MATCH(0,INDEX(COUNTIF($E$1:$E98,$X$2:$X$100)+(COUNTIF($X$2:$X$100,$X$2:$X$100)&lt;&gt;1),0,0),0)),$F$1=$AA$1,INDEX($Z$2:$Z$100,MATCH(0,INDEX(COUNTIF($E$1:$E98,$Z$2:$Z$100)+(COUNTIF($Z$2:$Z$100,$Z$2:$Z$100)&lt;&gt;1),0,0),0)),TRUE,"")),$E$1="GENINTEGRATION 22 Attributes",INDEX($H$2:$H$100,MATCH(0,INDEX(COUNTIF($E$1:$E98,$H$2:$H$100)+(COUNTIF($H$2:$H$100,$H$2:$H$100)&lt;&gt;1),0,0),0)),TRUE,""),"")</f>
        <v/>
      </c>
      <c r="F99" s="213" t="str" cm="1">
        <f t="array" ref="F99">IFERROR(_xlfn.IFS($F$1=$Q$1,_xlfn.XLOOKUP($E99,$P$2:$P$100,Q$2:Q$100)&amp;"",$F$1=$S$1,_xlfn.XLOOKUP($E99,$R$2:$R$100,$S$2:$S$100)&amp;"",$F$1=$Y$1,_xlfn.XLOOKUP($E99,$X$2:$X$100,$Y$2:$Y$100)&amp;"",$F$1=$U$1,_xlfn.XLOOKUP($E99,$T$2:$T$100,$U$2:$U$100)&amp;"",$F$1=$W$1,_xlfn.XLOOKUP($E99,$V$2:$V$100,$W$2:$W$100)&amp;"",$F$1=$AA$1,_xlfn.XLOOKUP($E99,$Z$2:$Z$100,$AA$2:$AA$100)&amp;"",TRUE, ""),"")</f>
        <v/>
      </c>
      <c r="G99" s="215" t="str" cm="1">
        <f t="array" ref="G99">IFERROR(IF($F99&lt;&gt;"",_xlfn.IFS($F$1="LM7 31 ClPRODUCT4 ms","LM7",$F$1="LMS1 31 ClPRODUCT4 ms","CV",$F$1="LMS2 31 ClPRODUCT4 ms","CL",$F$1="LMS5 31 ClPRODUCT4 ms","JZ",$F$1="LMS8 31 ClPRODUCT4 ms","DL",$F$1="LMS6 31 ClPRODUCT4 ms","MD",TRUE, ""),IF(AND($E$1="GENINTEGRATION 22 Attributes",$E99&lt;&gt;""),"22","")),"")</f>
        <v/>
      </c>
      <c r="H99" s="21"/>
      <c r="I99" s="21"/>
      <c r="J99" s="229"/>
      <c r="K99" s="229"/>
      <c r="L99" s="229"/>
      <c r="M99" s="229"/>
      <c r="N99" s="229"/>
      <c r="O99" s="229"/>
      <c r="P99" s="230" t="str">
        <f t="shared" si="34"/>
        <v/>
      </c>
      <c r="Q99" s="222" t="str">
        <f t="shared" si="23"/>
        <v/>
      </c>
      <c r="R99" s="230" t="str">
        <f t="shared" si="35"/>
        <v/>
      </c>
      <c r="S99" s="222" t="str">
        <f t="shared" si="25"/>
        <v/>
      </c>
      <c r="T99" s="230" t="str">
        <f t="shared" si="36"/>
        <v/>
      </c>
      <c r="U99" s="222" t="str">
        <f t="shared" si="27"/>
        <v/>
      </c>
      <c r="V99" s="230" t="str">
        <f t="shared" si="37"/>
        <v/>
      </c>
      <c r="W99" s="222" t="str">
        <f t="shared" si="29"/>
        <v/>
      </c>
      <c r="X99" s="230" t="str">
        <f t="shared" si="38"/>
        <v/>
      </c>
      <c r="Y99" s="222" t="str">
        <f t="shared" si="31"/>
        <v/>
      </c>
      <c r="Z99" s="230" t="str">
        <f t="shared" si="32"/>
        <v/>
      </c>
      <c r="AA99" s="222" t="str">
        <f t="shared" si="33"/>
        <v/>
      </c>
    </row>
    <row r="100" spans="5:27" ht="20.100000000000001" customHeight="1" x14ac:dyDescent="0.55000000000000004">
      <c r="E100" s="217" t="str" cm="1">
        <f t="array" ref="E100">IFERROR(_xlfn.IFS($E$1="GENINTEGRATION 22 Parameters",(_xlfn.IFS($F$1=$Q$1,INDEX($P$2:$P$100,MATCH(0,INDEX(COUNTIF($E$1:$E99,$P$2:$P$100)+(COUNTIF($P$2:$P$100,$P$2:$P$100)&lt;&gt;1),0,0),0)),$F$1=$S$1,INDEX($R$2:$R$100,MATCH(0,INDEX(COUNTIF($E$1:$E99,$R$2:$R$100)+(COUNTIF($R$2:$R$100,$R$2:$R$100)&lt;&gt;1),0,0),0)),$F$1=$U$1,INDEX($T$2:$T$100,MATCH(0,INDEX(COUNTIF($E$1:$E99,$T$2:$T$100)+(COUNTIF($T$2:$T$100,$T$2:$T$100)&lt;&gt;1),0,0),0)),$F$1=$W$1,INDEX($V$2:$V$100,MATCH(0,INDEX(COUNTIF($E$1:$E99,$V$2:$V$100)+(COUNTIF($V$2:$V$100,$V$2:$V$100)&lt;&gt;1),0,0),0)),$F$1=$Y$1,INDEX($X$2:$X$100,MATCH(0,INDEX(COUNTIF($E$1:$E99,$X$2:$X$100)+(COUNTIF($X$2:$X$100,$X$2:$X$100)&lt;&gt;1),0,0),0)),$F$1=$AA$1,INDEX($Z$2:$Z$100,MATCH(0,INDEX(COUNTIF($E$1:$E99,$Z$2:$Z$100)+(COUNTIF($Z$2:$Z$100,$Z$2:$Z$100)&lt;&gt;1),0,0),0)),TRUE,"")),$E$1="GENINTEGRATION 22 Attributes",INDEX($H$2:$H$100,MATCH(0,INDEX(COUNTIF($E$1:$E99,$H$2:$H$100)+(COUNTIF($H$2:$H$100,$H$2:$H$100)&lt;&gt;1),0,0),0)),TRUE,""),"")</f>
        <v/>
      </c>
      <c r="F100" s="213" t="str" cm="1">
        <f t="array" ref="F100">IFERROR(_xlfn.IFS($F$1=$Q$1,_xlfn.XLOOKUP($E100,$P$2:$P$100,Q$2:Q$100)&amp;"",$F$1=$S$1,_xlfn.XLOOKUP($E100,$R$2:$R$100,$S$2:$S$100)&amp;"",$F$1=$Y$1,_xlfn.XLOOKUP($E100,$X$2:$X$100,$Y$2:$Y$100)&amp;"",$F$1=$U$1,_xlfn.XLOOKUP($E100,$T$2:$T$100,$U$2:$U$100)&amp;"",$F$1=$W$1,_xlfn.XLOOKUP($E100,$V$2:$V$100,$W$2:$W$100)&amp;"",$F$1=$AA$1,_xlfn.XLOOKUP($E100,$Z$2:$Z$100,$AA$2:$AA$100)&amp;"",TRUE, ""),"")</f>
        <v/>
      </c>
      <c r="G100" s="215" t="str" cm="1">
        <f t="array" ref="G100">IFERROR(IF($F100&lt;&gt;"",_xlfn.IFS($F$1="LM7 31 ClPRODUCT4 ms","LM7",$F$1="LMS1 31 ClPRODUCT4 ms","CV",$F$1="LMS2 31 ClPRODUCT4 ms","CL",$F$1="LMS5 31 ClPRODUCT4 ms","JZ",$F$1="LMS8 31 ClPRODUCT4 ms","DL",$F$1="LMS6 31 ClPRODUCT4 ms","MD",TRUE, ""),IF(AND($E$1="GENINTEGRATION 22 Attributes",$E100&lt;&gt;""),"22","")),"")</f>
        <v/>
      </c>
      <c r="H100" s="21"/>
      <c r="I100" s="21"/>
      <c r="J100" s="229"/>
      <c r="K100" s="229"/>
      <c r="L100" s="229"/>
      <c r="M100" s="229"/>
      <c r="N100" s="229"/>
      <c r="O100" s="229"/>
      <c r="P100" s="230" t="str">
        <f t="shared" si="34"/>
        <v/>
      </c>
      <c r="Q100" s="222" t="str">
        <f t="shared" si="23"/>
        <v/>
      </c>
      <c r="R100" s="230" t="str">
        <f t="shared" si="35"/>
        <v/>
      </c>
      <c r="S100" s="222" t="str">
        <f t="shared" si="25"/>
        <v/>
      </c>
      <c r="T100" s="230" t="str">
        <f t="shared" si="36"/>
        <v/>
      </c>
      <c r="U100" s="222" t="str">
        <f t="shared" si="27"/>
        <v/>
      </c>
      <c r="V100" s="230" t="str">
        <f t="shared" si="37"/>
        <v/>
      </c>
      <c r="W100" s="222" t="str">
        <f t="shared" si="29"/>
        <v/>
      </c>
      <c r="X100" s="230" t="str">
        <f t="shared" si="38"/>
        <v/>
      </c>
      <c r="Y100" s="222" t="str">
        <f t="shared" si="31"/>
        <v/>
      </c>
      <c r="Z100" s="230" t="str">
        <f t="shared" si="32"/>
        <v/>
      </c>
      <c r="AA100" s="222" t="str">
        <f t="shared" si="33"/>
        <v/>
      </c>
    </row>
    <row r="101" spans="5:27" ht="20.100000000000001" customHeight="1" x14ac:dyDescent="0.55000000000000004">
      <c r="E101" s="213"/>
    </row>
    <row r="104" spans="5:27" ht="20.100000000000001" customHeight="1" x14ac:dyDescent="0.55000000000000004">
      <c r="E104" s="218" t="s">
        <v>128</v>
      </c>
    </row>
  </sheetData>
  <sheetProtection algorithmName="SHA-512" hashValue="DzwnwBlona87v588EQS+PvJUJqpD0ILD1XvLd8q51EwRF97DZ+jSy1NaqAUGOgKx5Fsq6d7rw9hZOn5LDngiVA==" saltValue="0U2NPl803EeQpHzdfMZpqw==" spinCount="100000" sheet="1" objects="1" scenarios="1"/>
  <autoFilter ref="H1:Y100" xr:uid="{CAC912FA-6989-4BBA-823D-C4B775A98CE6}">
    <sortState xmlns:xlrd2="http://schemas.microsoft.com/office/spreadsheetml/2017/richdata2" ref="H2:Y100">
      <sortCondition ref="H1:H100"/>
    </sortState>
  </autoFilter>
  <mergeCells count="22">
    <mergeCell ref="B2:C2"/>
    <mergeCell ref="A23:C23"/>
    <mergeCell ref="B19:C19"/>
    <mergeCell ref="AC1:AD1"/>
    <mergeCell ref="AC10:AD10"/>
    <mergeCell ref="B21:C21"/>
    <mergeCell ref="B22:C22"/>
    <mergeCell ref="A20:C20"/>
    <mergeCell ref="A17:C17"/>
    <mergeCell ref="A14:C14"/>
    <mergeCell ref="A13:C13"/>
    <mergeCell ref="B15:C15"/>
    <mergeCell ref="B16:C16"/>
    <mergeCell ref="B18:C18"/>
    <mergeCell ref="B4:C11"/>
    <mergeCell ref="A4:A11"/>
    <mergeCell ref="B3:C3"/>
    <mergeCell ref="B24:C24"/>
    <mergeCell ref="B25:C25"/>
    <mergeCell ref="B27:C27"/>
    <mergeCell ref="B28:C28"/>
    <mergeCell ref="A26:C26"/>
  </mergeCells>
  <conditionalFormatting sqref="A2:A11">
    <cfRule type="expression" dxfId="236" priority="136">
      <formula>$A$1="Apidapter Build Notes"</formula>
    </cfRule>
  </conditionalFormatting>
  <conditionalFormatting sqref="A13">
    <cfRule type="expression" dxfId="235" priority="1046">
      <formula>$E$1="LTI 1.1 Parameters"</formula>
    </cfRule>
    <cfRule type="expression" dxfId="234" priority="1045">
      <formula>$A$13=$AC$1</formula>
    </cfRule>
    <cfRule type="expression" dxfId="233" priority="1044">
      <formula>$A$13=$AC$10</formula>
    </cfRule>
    <cfRule type="expression" dxfId="232" priority="142">
      <formula>$E$1="Common Custom Parameters for LTI 1.1"</formula>
    </cfRule>
  </conditionalFormatting>
  <conditionalFormatting sqref="A15:A16 A18:A19 A21:A22 A24:A25 A27:A28">
    <cfRule type="expression" dxfId="231" priority="1039">
      <formula>$A$13=$AC$10</formula>
    </cfRule>
  </conditionalFormatting>
  <conditionalFormatting sqref="A15:A16 A18:A19">
    <cfRule type="expression" dxfId="230" priority="1056">
      <formula>$A$13=$AC$1</formula>
    </cfRule>
  </conditionalFormatting>
  <conditionalFormatting sqref="A1:C1">
    <cfRule type="expression" dxfId="229" priority="137">
      <formula>$A$1="Apidapter Build Notes"</formula>
    </cfRule>
  </conditionalFormatting>
  <conditionalFormatting sqref="A1:C3">
    <cfRule type="expression" dxfId="228" priority="22">
      <formula>$B$2="This Build Configuration does not require an APIdapter"</formula>
    </cfRule>
  </conditionalFormatting>
  <conditionalFormatting sqref="A1:C11">
    <cfRule type="expression" dxfId="227" priority="18">
      <formula>$B$4="Get to Building! This program has not been configured yet :)"</formula>
    </cfRule>
  </conditionalFormatting>
  <conditionalFormatting sqref="A4:C11">
    <cfRule type="expression" dxfId="226" priority="21">
      <formula>$B$2="This Build Configuration does not require an APIdapter"</formula>
    </cfRule>
  </conditionalFormatting>
  <conditionalFormatting sqref="A14:C14 A17:C17 A20:C20 A23:C23 A26:C26">
    <cfRule type="expression" dxfId="225" priority="1034">
      <formula>$A$13=$AC$10</formula>
    </cfRule>
  </conditionalFormatting>
  <conditionalFormatting sqref="A14:C14 A17:C17">
    <cfRule type="expression" dxfId="224" priority="1054">
      <formula>$A$13=$AC$1</formula>
    </cfRule>
  </conditionalFormatting>
  <conditionalFormatting sqref="B2:C11">
    <cfRule type="expression" dxfId="223" priority="37">
      <formula>$A$1="Apidapter Build Notes"</formula>
    </cfRule>
  </conditionalFormatting>
  <conditionalFormatting sqref="B15:C16 B18:C19 B21:C22 B24:C25 B27:C28">
    <cfRule type="expression" dxfId="222" priority="1049">
      <formula>$A$13=$AC$10</formula>
    </cfRule>
  </conditionalFormatting>
  <conditionalFormatting sqref="B15:C16 B18:C19">
    <cfRule type="expression" dxfId="221" priority="1047">
      <formula>$A$13=$AC$1</formula>
    </cfRule>
  </conditionalFormatting>
  <conditionalFormatting sqref="E1">
    <cfRule type="expression" dxfId="220" priority="23">
      <formula>$E$1="Lti 1.1 Attributes"</formula>
    </cfRule>
  </conditionalFormatting>
  <conditionalFormatting sqref="E2:E100">
    <cfRule type="cellIs" dxfId="219" priority="195" operator="notEqual">
      <formula>""</formula>
    </cfRule>
    <cfRule type="expression" dxfId="218" priority="192">
      <formula>$G2="BB"</formula>
    </cfRule>
    <cfRule type="expression" dxfId="217" priority="190">
      <formula>$G2="CV"</formula>
    </cfRule>
    <cfRule type="expression" dxfId="216" priority="188">
      <formula>$G2="DL"</formula>
    </cfRule>
    <cfRule type="expression" dxfId="215" priority="147">
      <formula>$G2="BB"</formula>
    </cfRule>
    <cfRule type="expression" dxfId="214" priority="19">
      <formula>$G2="CL"</formula>
    </cfRule>
    <cfRule type="expression" dxfId="213" priority="186">
      <formula>$G2="MD"</formula>
    </cfRule>
  </conditionalFormatting>
  <conditionalFormatting sqref="E1:F1">
    <cfRule type="expression" dxfId="212" priority="1">
      <formula>$F$1="Jenzabar 1.3 Claims"</formula>
    </cfRule>
    <cfRule type="expression" dxfId="211" priority="20">
      <formula>$F$1="ClassLink 1.3 Claims"</formula>
    </cfRule>
    <cfRule type="expression" dxfId="210" priority="187">
      <formula>$F$1="Moodle 1.3 Claims"</formula>
    </cfRule>
    <cfRule type="expression" dxfId="209" priority="189">
      <formula>$F$1="D2L 1.3 Claims"</formula>
    </cfRule>
    <cfRule type="expression" dxfId="208" priority="191">
      <formula>$F$1="Canvas 1.3 Claims"</formula>
    </cfRule>
    <cfRule type="expression" dxfId="207" priority="193">
      <formula>$F$1="Blackboard 1.3 Claims"</formula>
    </cfRule>
  </conditionalFormatting>
  <conditionalFormatting sqref="F2:F100">
    <cfRule type="cellIs" dxfId="206" priority="194" operator="notEqual">
      <formula>""</formula>
    </cfRule>
  </conditionalFormatting>
  <conditionalFormatting sqref="J1 Q1">
    <cfRule type="expression" dxfId="205" priority="16">
      <formula>$J$1="BB"</formula>
    </cfRule>
  </conditionalFormatting>
  <conditionalFormatting sqref="J2:J100 Q2:Q100">
    <cfRule type="expression" dxfId="204" priority="17">
      <formula>$J$1="BB"</formula>
    </cfRule>
  </conditionalFormatting>
  <conditionalFormatting sqref="K1 S1">
    <cfRule type="expression" dxfId="203" priority="15">
      <formula>$K$1="CV"</formula>
    </cfRule>
  </conditionalFormatting>
  <conditionalFormatting sqref="K2:K100 S2:S100">
    <cfRule type="expression" dxfId="202" priority="11">
      <formula>$K$1="CV"</formula>
    </cfRule>
  </conditionalFormatting>
  <conditionalFormatting sqref="L1 U1">
    <cfRule type="expression" dxfId="201" priority="14">
      <formula>$L$1="D2L"</formula>
    </cfRule>
  </conditionalFormatting>
  <conditionalFormatting sqref="L2:L100 U2:U100">
    <cfRule type="expression" dxfId="200" priority="10">
      <formula>$L$1="D2L"</formula>
    </cfRule>
  </conditionalFormatting>
  <conditionalFormatting sqref="M1 W1">
    <cfRule type="expression" dxfId="199" priority="13">
      <formula>$M$1="md"</formula>
    </cfRule>
  </conditionalFormatting>
  <conditionalFormatting sqref="M2:M100 W2:W100">
    <cfRule type="expression" dxfId="198" priority="9">
      <formula>$M$1="MD"</formula>
    </cfRule>
  </conditionalFormatting>
  <conditionalFormatting sqref="N1 Y1">
    <cfRule type="expression" dxfId="197" priority="12">
      <formula>$N$1="Cl"</formula>
    </cfRule>
  </conditionalFormatting>
  <conditionalFormatting sqref="N2:N100 Y2:Y100">
    <cfRule type="expression" dxfId="196" priority="8">
      <formula>$N$1="CL"</formula>
    </cfRule>
  </conditionalFormatting>
  <conditionalFormatting sqref="O1">
    <cfRule type="expression" dxfId="195" priority="4">
      <formula>$O$1="JZ"</formula>
    </cfRule>
  </conditionalFormatting>
  <conditionalFormatting sqref="O2:O100">
    <cfRule type="expression" dxfId="194" priority="3">
      <formula>$O$1="JZ"</formula>
    </cfRule>
  </conditionalFormatting>
  <conditionalFormatting sqref="AA1">
    <cfRule type="expression" dxfId="193" priority="5">
      <formula>$O$1="JZ"</formula>
    </cfRule>
  </conditionalFormatting>
  <conditionalFormatting sqref="AA2:AA100">
    <cfRule type="expression" dxfId="192" priority="6">
      <formula>$L$1="D2L"</formula>
    </cfRule>
    <cfRule type="expression" dxfId="191" priority="2">
      <formula>$O$1="JZ"</formula>
    </cfRule>
  </conditionalFormatting>
  <conditionalFormatting sqref="AD3:AD4">
    <cfRule type="cellIs" dxfId="190" priority="176" operator="equal">
      <formula>"This component requires the Client's D2L Deployment ID"</formula>
    </cfRule>
    <cfRule type="cellIs" dxfId="189" priority="175" operator="equal">
      <formula>"n/a"</formula>
    </cfRule>
    <cfRule type="cellIs" dxfId="188" priority="174" operator="equal">
      <formula>"This component requires the APIdapter Client URL"</formula>
    </cfRule>
    <cfRule type="cellIs" dxfId="187" priority="185" operator="equal">
      <formula>"This component is not necessary"</formula>
    </cfRule>
    <cfRule type="cellIs" dxfId="186" priority="173" operator="equal">
      <formula>"This component will be configured by APIdapter                                                    Record APIdapter Response HERE --&gt;"</formula>
    </cfRule>
    <cfRule type="cellIs" dxfId="185" priority="172" operator="equal">
      <formula>"This component requires the APIdapter Client URL &amp; the Program GUID"</formula>
    </cfRule>
    <cfRule type="cellIs" dxfId="184" priority="171" operator="equal">
      <formula>"This component requires the BB Developer Application ID"</formula>
    </cfRule>
    <cfRule type="cellIs" dxfId="183" priority="180" operator="equal">
      <formula>"This component requires the D2L Client-Specific Environment"</formula>
    </cfRule>
    <cfRule type="cellIs" dxfId="182" priority="184" operator="equal">
      <formula>"This component to be provided by the client"</formula>
    </cfRule>
    <cfRule type="cellIs" dxfId="181" priority="183" operator="equal">
      <formula>"This component will be configured by APIdapter"</formula>
    </cfRule>
    <cfRule type="cellIs" dxfId="180" priority="182" operator="equal">
      <formula>"Not yet Configured"</formula>
    </cfRule>
    <cfRule type="cellIs" dxfId="179" priority="181" operator="equal">
      <formula>"This Component has not been configured yet"</formula>
    </cfRule>
    <cfRule type="cellIs" dxfId="178" priority="179" operator="equal">
      <formula>"This component requires the D2L Client ID"</formula>
    </cfRule>
    <cfRule type="cellIs" dxfId="177" priority="178" operator="equal">
      <formula>"This component requires the D2L OpenID Connect Auth. Endpoint"</formula>
    </cfRule>
    <cfRule type="cellIs" dxfId="176" priority="177" operator="equal">
      <formula>"This component requires the D2L Keyset URL"</formula>
    </cfRule>
  </conditionalFormatting>
  <conditionalFormatting sqref="AD6:AD7">
    <cfRule type="cellIs" dxfId="175" priority="168" operator="equal">
      <formula>"This component will be configured by APIdapter"</formula>
    </cfRule>
    <cfRule type="cellIs" dxfId="174" priority="162" operator="equal">
      <formula>"This component requires the D2L Keyset URL"</formula>
    </cfRule>
    <cfRule type="cellIs" dxfId="173" priority="161" operator="equal">
      <formula>"This component requires the Client's D2L Deployment ID"</formula>
    </cfRule>
    <cfRule type="cellIs" dxfId="172" priority="156" operator="equal">
      <formula>"This component requires the BB Developer Application ID"</formula>
    </cfRule>
    <cfRule type="cellIs" dxfId="171" priority="158" operator="equal">
      <formula>"This component will be configured by APIdapter                                                    Record APIdapter Response HERE --&gt;"</formula>
    </cfRule>
    <cfRule type="cellIs" dxfId="170" priority="157" operator="equal">
      <formula>"This component requires the APIdapter Client URL &amp; the Program GUID"</formula>
    </cfRule>
    <cfRule type="cellIs" dxfId="169" priority="160" operator="equal">
      <formula>"n/a"</formula>
    </cfRule>
    <cfRule type="cellIs" dxfId="168" priority="170" operator="equal">
      <formula>"This component is not necessary"</formula>
    </cfRule>
    <cfRule type="cellIs" dxfId="167" priority="169" operator="equal">
      <formula>"This component to be provided by the client"</formula>
    </cfRule>
    <cfRule type="cellIs" dxfId="166" priority="167" operator="equal">
      <formula>"Not yet Configured"</formula>
    </cfRule>
    <cfRule type="cellIs" dxfId="165" priority="166" operator="equal">
      <formula>"This Component has not been configured yet"</formula>
    </cfRule>
    <cfRule type="cellIs" dxfId="164" priority="165" operator="equal">
      <formula>"This component requires the D2L Client-Specific Environment"</formula>
    </cfRule>
    <cfRule type="cellIs" dxfId="163" priority="164" operator="equal">
      <formula>"This component requires the D2L Client ID"</formula>
    </cfRule>
    <cfRule type="cellIs" dxfId="162" priority="163" operator="equal">
      <formula>"This component requires the D2L OpenID Connect Auth. Endpoint"</formula>
    </cfRule>
    <cfRule type="cellIs" dxfId="161" priority="159" operator="equal">
      <formula>"This component requires the APIdapter Client URL"</formula>
    </cfRule>
  </conditionalFormatting>
  <conditionalFormatting sqref="AD12:AD13">
    <cfRule type="cellIs" dxfId="160" priority="123" operator="equal">
      <formula>"This component requires the D2L Client ID"</formula>
    </cfRule>
    <cfRule type="cellIs" dxfId="159" priority="124" operator="equal">
      <formula>"This component requires the D2L Client-Specific Environment"</formula>
    </cfRule>
    <cfRule type="cellIs" dxfId="158" priority="126" operator="equal">
      <formula>"Not yet Configured"</formula>
    </cfRule>
    <cfRule type="cellIs" dxfId="157" priority="127" operator="equal">
      <formula>"This component will be configured by APIdapter"</formula>
    </cfRule>
    <cfRule type="cellIs" dxfId="156" priority="128" operator="equal">
      <formula>"This component to be provided by the client"</formula>
    </cfRule>
    <cfRule type="cellIs" dxfId="155" priority="129" operator="equal">
      <formula>"This component is not necessary"</formula>
    </cfRule>
    <cfRule type="cellIs" dxfId="154" priority="125" operator="equal">
      <formula>"This Component has not been configured yet"</formula>
    </cfRule>
    <cfRule type="cellIs" dxfId="153" priority="115" operator="equal">
      <formula>"This component requires the BB Developer Application ID"</formula>
    </cfRule>
    <cfRule type="cellIs" dxfId="152" priority="116" operator="equal">
      <formula>"This component requires the APIdapter Client URL &amp; the Program GUID"</formula>
    </cfRule>
    <cfRule type="cellIs" dxfId="151" priority="117" operator="equal">
      <formula>"This component will be configured by APIdapter                                                    Record APIdapter Response HERE --&gt;"</formula>
    </cfRule>
    <cfRule type="cellIs" dxfId="150" priority="118" operator="equal">
      <formula>"This component requires the APIdapter Client URL"</formula>
    </cfRule>
    <cfRule type="cellIs" dxfId="149" priority="119" operator="equal">
      <formula>"n/a"</formula>
    </cfRule>
    <cfRule type="cellIs" dxfId="148" priority="120" operator="equal">
      <formula>"This component requires the Client's D2L Deployment ID"</formula>
    </cfRule>
    <cfRule type="cellIs" dxfId="147" priority="121" operator="equal">
      <formula>"This component requires the D2L Keyset URL"</formula>
    </cfRule>
    <cfRule type="cellIs" dxfId="146" priority="122" operator="equal">
      <formula>"This component requires the D2L OpenID Connect Auth. Endpoint"</formula>
    </cfRule>
  </conditionalFormatting>
  <conditionalFormatting sqref="AD15:AD16">
    <cfRule type="cellIs" dxfId="145" priority="91" operator="equal">
      <formula>"This component requires the D2L Keyset URL"</formula>
    </cfRule>
    <cfRule type="cellIs" dxfId="144" priority="92" operator="equal">
      <formula>"This component requires the D2L OpenID Connect Auth. Endpoint"</formula>
    </cfRule>
    <cfRule type="cellIs" dxfId="143" priority="87" operator="equal">
      <formula>"This component will be configured by APIdapter                                                    Record APIdapter Response HERE --&gt;"</formula>
    </cfRule>
    <cfRule type="cellIs" dxfId="142" priority="96" operator="equal">
      <formula>"Not yet Configured"</formula>
    </cfRule>
    <cfRule type="cellIs" dxfId="141" priority="95" operator="equal">
      <formula>"This Component has not been configured yet"</formula>
    </cfRule>
    <cfRule type="cellIs" dxfId="140" priority="85" operator="equal">
      <formula>"This component requires the BB Developer Application ID"</formula>
    </cfRule>
    <cfRule type="cellIs" dxfId="139" priority="86" operator="equal">
      <formula>"This component requires the APIdapter Client URL &amp; the Program GUID"</formula>
    </cfRule>
    <cfRule type="cellIs" dxfId="138" priority="94" operator="equal">
      <formula>"This component requires the D2L Client-Specific Environment"</formula>
    </cfRule>
    <cfRule type="cellIs" dxfId="137" priority="90" operator="equal">
      <formula>"This component requires the Client's D2L Deployment ID"</formula>
    </cfRule>
    <cfRule type="cellIs" dxfId="136" priority="89" operator="equal">
      <formula>"n/a"</formula>
    </cfRule>
    <cfRule type="cellIs" dxfId="135" priority="88" operator="equal">
      <formula>"This component requires the APIdapter Client URL"</formula>
    </cfRule>
    <cfRule type="cellIs" dxfId="134" priority="99" operator="equal">
      <formula>"This component is not necessary"</formula>
    </cfRule>
    <cfRule type="cellIs" dxfId="133" priority="98" operator="equal">
      <formula>"This component to be provided by the client"</formula>
    </cfRule>
    <cfRule type="cellIs" dxfId="132" priority="97" operator="equal">
      <formula>"This component will be configured by APIdapter"</formula>
    </cfRule>
    <cfRule type="cellIs" dxfId="131" priority="93" operator="equal">
      <formula>"This component requires the D2L Client ID"</formula>
    </cfRule>
  </conditionalFormatting>
  <conditionalFormatting sqref="AD18:AD19">
    <cfRule type="cellIs" dxfId="130" priority="70" operator="equal">
      <formula>"This component requires the BB Developer Application ID"</formula>
    </cfRule>
    <cfRule type="cellIs" dxfId="129" priority="84" operator="equal">
      <formula>"This component is not necessary"</formula>
    </cfRule>
    <cfRule type="cellIs" dxfId="128" priority="83" operator="equal">
      <formula>"This component to be provided by the client"</formula>
    </cfRule>
    <cfRule type="cellIs" dxfId="127" priority="82" operator="equal">
      <formula>"This component will be configured by APIdapter"</formula>
    </cfRule>
    <cfRule type="cellIs" dxfId="126" priority="80" operator="equal">
      <formula>"This Component has not been configured yet"</formula>
    </cfRule>
    <cfRule type="cellIs" dxfId="125" priority="74" operator="equal">
      <formula>"n/a"</formula>
    </cfRule>
    <cfRule type="cellIs" dxfId="124" priority="79" operator="equal">
      <formula>"This component requires the D2L Client-Specific Environment"</formula>
    </cfRule>
    <cfRule type="cellIs" dxfId="123" priority="73" operator="equal">
      <formula>"This component requires the APIdapter Client URL"</formula>
    </cfRule>
    <cfRule type="cellIs" dxfId="122" priority="72" operator="equal">
      <formula>"This component will be configured by APIdapter                                                    Record APIdapter Response HERE --&gt;"</formula>
    </cfRule>
    <cfRule type="cellIs" dxfId="121" priority="71" operator="equal">
      <formula>"This component requires the APIdapter Client URL &amp; the Program GUID"</formula>
    </cfRule>
    <cfRule type="cellIs" dxfId="120" priority="78" operator="equal">
      <formula>"This component requires the D2L Client ID"</formula>
    </cfRule>
    <cfRule type="cellIs" dxfId="119" priority="77" operator="equal">
      <formula>"This component requires the D2L OpenID Connect Auth. Endpoint"</formula>
    </cfRule>
    <cfRule type="cellIs" dxfId="118" priority="76" operator="equal">
      <formula>"This component requires the D2L Keyset URL"</formula>
    </cfRule>
    <cfRule type="cellIs" dxfId="117" priority="75" operator="equal">
      <formula>"This component requires the Client's D2L Deployment ID"</formula>
    </cfRule>
    <cfRule type="cellIs" dxfId="116" priority="81" operator="equal">
      <formula>"Not yet Configured"</formula>
    </cfRule>
  </conditionalFormatting>
  <conditionalFormatting sqref="AD21:AD22">
    <cfRule type="cellIs" dxfId="115" priority="69" operator="equal">
      <formula>"This component is not necessary"</formula>
    </cfRule>
    <cfRule type="cellIs" dxfId="114" priority="68" operator="equal">
      <formula>"This component to be provided by the client"</formula>
    </cfRule>
    <cfRule type="cellIs" dxfId="113" priority="67" operator="equal">
      <formula>"This component will be configured by APIdapter"</formula>
    </cfRule>
    <cfRule type="cellIs" dxfId="112" priority="66" operator="equal">
      <formula>"Not yet Configured"</formula>
    </cfRule>
    <cfRule type="cellIs" dxfId="111" priority="65" operator="equal">
      <formula>"This Component has not been configured yet"</formula>
    </cfRule>
    <cfRule type="cellIs" dxfId="110" priority="59" operator="equal">
      <formula>"n/a"</formula>
    </cfRule>
    <cfRule type="cellIs" dxfId="109" priority="60" operator="equal">
      <formula>"This component requires the Client's D2L Deployment ID"</formula>
    </cfRule>
    <cfRule type="cellIs" dxfId="108" priority="61" operator="equal">
      <formula>"This component requires the D2L Keyset URL"</formula>
    </cfRule>
    <cfRule type="cellIs" dxfId="107" priority="55" operator="equal">
      <formula>"This component requires the BB Developer Application ID"</formula>
    </cfRule>
    <cfRule type="cellIs" dxfId="106" priority="62" operator="equal">
      <formula>"This component requires the D2L OpenID Connect Auth. Endpoint"</formula>
    </cfRule>
    <cfRule type="cellIs" dxfId="105" priority="63" operator="equal">
      <formula>"This component requires the D2L Client ID"</formula>
    </cfRule>
    <cfRule type="cellIs" dxfId="104" priority="57" operator="equal">
      <formula>"This component will be configured by APIdapter                                                    Record APIdapter Response HERE --&gt;"</formula>
    </cfRule>
    <cfRule type="cellIs" dxfId="103" priority="64" operator="equal">
      <formula>"This component requires the D2L Client-Specific Environment"</formula>
    </cfRule>
    <cfRule type="cellIs" dxfId="102" priority="56" operator="equal">
      <formula>"This component requires the APIdapter Client URL &amp; the Program GUID"</formula>
    </cfRule>
    <cfRule type="cellIs" dxfId="101" priority="58" operator="equal">
      <formula>"This component requires the APIdapter Client URL"</formula>
    </cfRule>
  </conditionalFormatting>
  <conditionalFormatting sqref="AD24:AD25">
    <cfRule type="cellIs" dxfId="100" priority="42" operator="equal">
      <formula>"This component will be configured by APIdapter                                                    Record APIdapter Response HERE --&gt;"</formula>
    </cfRule>
    <cfRule type="cellIs" dxfId="99" priority="43" operator="equal">
      <formula>"This component requires the APIdapter Client URL"</formula>
    </cfRule>
    <cfRule type="cellIs" dxfId="98" priority="44" operator="equal">
      <formula>"n/a"</formula>
    </cfRule>
    <cfRule type="cellIs" dxfId="97" priority="45" operator="equal">
      <formula>"This component requires the Client's D2L Deployment ID"</formula>
    </cfRule>
    <cfRule type="cellIs" dxfId="96" priority="46" operator="equal">
      <formula>"This component requires the D2L Keyset URL"</formula>
    </cfRule>
    <cfRule type="cellIs" dxfId="95" priority="41" operator="equal">
      <formula>"This component requires the APIdapter Client URL &amp; the Program GUID"</formula>
    </cfRule>
    <cfRule type="cellIs" dxfId="94" priority="47" operator="equal">
      <formula>"This component requires the D2L OpenID Connect Auth. Endpoint"</formula>
    </cfRule>
    <cfRule type="cellIs" dxfId="93" priority="40" operator="equal">
      <formula>"This component requires the BB Developer Application ID"</formula>
    </cfRule>
    <cfRule type="cellIs" dxfId="92" priority="54" operator="equal">
      <formula>"This component is not necessary"</formula>
    </cfRule>
    <cfRule type="cellIs" dxfId="91" priority="53" operator="equal">
      <formula>"This component to be provided by the client"</formula>
    </cfRule>
    <cfRule type="cellIs" dxfId="90" priority="52" operator="equal">
      <formula>"This component will be configured by APIdapter"</formula>
    </cfRule>
    <cfRule type="cellIs" dxfId="89" priority="51" operator="equal">
      <formula>"Not yet Configured"</formula>
    </cfRule>
    <cfRule type="cellIs" dxfId="88" priority="50" operator="equal">
      <formula>"This Component has not been configured yet"</formula>
    </cfRule>
    <cfRule type="cellIs" dxfId="87" priority="49" operator="equal">
      <formula>"This component requires the D2L Client-Specific Environment"</formula>
    </cfRule>
    <cfRule type="cellIs" dxfId="86" priority="48" operator="equal">
      <formula>"This component requires the D2L Client ID"</formula>
    </cfRule>
  </conditionalFormatting>
  <dataValidations disablePrompts="1" count="2">
    <dataValidation type="list" allowBlank="1" showInputMessage="1" showErrorMessage="1" sqref="G1" xr:uid="{8274CACD-80CC-47D2-9F3F-C94F650BE083}">
      <formula1>"Blackboard 1.3 Claims, Canvas 1.3 Claims, D2L 1.3 Claims, Moodle 1.3 Claims"</formula1>
    </dataValidation>
    <dataValidation type="list" allowBlank="1" showInputMessage="1" showErrorMessage="1" sqref="J2:O100" xr:uid="{FF392D53-C0E8-460B-883B-014A8FEA5C9A}">
      <formula1>"Yes,No"</formula1>
    </dataValidation>
  </dataValidations>
  <hyperlinks>
    <hyperlink ref="C1" location="Link_to_APIdapter_Common_Custom_Parameters" display="Go Back to Build Specs" xr:uid="{B7F97A3A-7239-4C35-8066-61A4ACB4049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94C74-30B0-444F-85E1-532853E362DD}">
  <sheetPr codeName="Sheet3"/>
  <dimension ref="A1:C6"/>
  <sheetViews>
    <sheetView zoomScale="80" zoomScaleNormal="80" workbookViewId="0">
      <selection activeCell="B1" sqref="B1:C1"/>
    </sheetView>
  </sheetViews>
  <sheetFormatPr defaultColWidth="9.15625" defaultRowHeight="14.4" x14ac:dyDescent="0.55000000000000004"/>
  <cols>
    <col min="1" max="1" width="91.83984375" style="153" customWidth="1"/>
    <col min="2" max="2" width="21.15625" style="153" customWidth="1"/>
    <col min="3" max="3" width="25.83984375" style="153" customWidth="1"/>
    <col min="4" max="16384" width="9.15625" style="153"/>
  </cols>
  <sheetData>
    <row r="1" spans="1:3" ht="95.25" customHeight="1" x14ac:dyDescent="0.55000000000000004">
      <c r="A1" s="813"/>
      <c r="B1" s="814" t="str">
        <f ca="1">HYPERLINK(_xlfn.CONCAT(" http://images.Google.com/images?um=1&amp;hl=en&amp;safe=active&amp;nfpr=1&amp;q="&amp;(SUBSTITUTE('Program Config'!$C$8," ","+"))&amp;"+Logo"),"Click HERE to search Google 
Images for the Client's Logo")</f>
        <v>Click HERE to search Google 
Images for the Client's Logo</v>
      </c>
      <c r="C1" s="815"/>
    </row>
    <row r="2" spans="1:3" s="154" customFormat="1" ht="95.25" customHeight="1" x14ac:dyDescent="0.55000000000000004">
      <c r="A2" s="813"/>
      <c r="B2" s="816" t="s">
        <v>129</v>
      </c>
      <c r="C2" s="817"/>
    </row>
    <row r="3" spans="1:3" s="154" customFormat="1" ht="25" customHeight="1" x14ac:dyDescent="0.55000000000000004">
      <c r="A3" s="199" t="s">
        <v>593</v>
      </c>
      <c r="B3" s="183" t="s">
        <v>130</v>
      </c>
      <c r="C3" s="319" t="str" cm="1">
        <f t="array" ref="C3">_xlfn.IFS(Concats!$A$8="", "", Concats!$A$8="n/a", "n/a", Concats!$A$8&gt;0, _xlfn.CONCAT(""&amp;(UPPER(SUBSTITUTE(Concats!$A$8,"/","")))&amp;"_WEB_Logo"))</f>
        <v>LINKEDIN_WEB_Logo</v>
      </c>
    </row>
    <row r="4" spans="1:3" ht="25" customHeight="1" x14ac:dyDescent="0.55000000000000004">
      <c r="A4" s="155"/>
      <c r="B4" s="182" t="s">
        <v>131</v>
      </c>
      <c r="C4" s="149"/>
    </row>
    <row r="5" spans="1:3" s="159" customFormat="1" ht="25" customHeight="1" x14ac:dyDescent="0.55000000000000004">
      <c r="A5" s="156" t="s">
        <v>132</v>
      </c>
      <c r="B5" s="157" t="s">
        <v>667</v>
      </c>
      <c r="C5" s="158" t="str">
        <f>IF(C4&lt;&gt;"",(HYPERLINK(_xlfn.CONCAT("\\https://www.linkedin.com/in/jo-ann-balsamo\"&amp;($C$4)),_xlfn.CONCAT("Public:\"&amp;($C$4)))),HYPERLINK("\\https://www.linkedin.com/in/jo-ann-balsamo/","B:\"))</f>
        <v>B:\</v>
      </c>
    </row>
    <row r="6" spans="1:3" s="159" customFormat="1" ht="25" customHeight="1" x14ac:dyDescent="0.55000000000000004">
      <c r="A6" s="810"/>
      <c r="B6" s="811"/>
      <c r="C6" s="812"/>
    </row>
  </sheetData>
  <sheetProtection algorithmName="SHA-512" hashValue="FvS+Nw6PcNv3ayqjAPdLzN0qrnq4vmtKpm0a4mgCdHl+VwDGr55mw/kY5iXnNXfC70OPxgpkT17u7GNapF2AcQ==" saltValue="H9lgI4b1bUls+e9F8wjRTQ==" spinCount="100000" sheet="1" formatCells="0" formatColumns="0" formatRows="0" insertColumns="0" insertRows="0" insertHyperlinks="0" deleteColumns="0" deleteRows="0" sort="0" autoFilter="0" pivotTables="0"/>
  <mergeCells count="4">
    <mergeCell ref="A6:C6"/>
    <mergeCell ref="A1:A2"/>
    <mergeCell ref="B1:C1"/>
    <mergeCell ref="B2:C2"/>
  </mergeCells>
  <conditionalFormatting sqref="A4:A6">
    <cfRule type="cellIs" dxfId="85" priority="1" operator="equal">
      <formula>"n/a"</formula>
    </cfRule>
  </conditionalFormatting>
  <conditionalFormatting sqref="A6">
    <cfRule type="cellIs" dxfId="84" priority="2" operator="greaterThan">
      <formula>0</formula>
    </cfRule>
  </conditionalFormatting>
  <conditionalFormatting sqref="A3:B3">
    <cfRule type="cellIs" dxfId="83" priority="7" operator="equal">
      <formula>"n/a"</formula>
    </cfRule>
  </conditionalFormatting>
  <conditionalFormatting sqref="B4:B5">
    <cfRule type="cellIs" dxfId="82" priority="3" operator="equal">
      <formula>"n/a"</formula>
    </cfRule>
  </conditionalFormatting>
  <dataValidations count="1">
    <dataValidation type="list" allowBlank="1" showInputMessage="1" showErrorMessage="1" sqref="C4" xr:uid="{0A23A9EC-4855-4AA4-B0CB-E7A8D1C1E846}">
      <formula1>"Balsamo"</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06CEA-6850-4BD5-9D9E-2965C7379696}">
  <sheetPr codeName="Sheet4"/>
  <dimension ref="A1:N320"/>
  <sheetViews>
    <sheetView zoomScale="50" zoomScaleNormal="50" workbookViewId="0">
      <selection activeCell="F7" sqref="F7"/>
    </sheetView>
  </sheetViews>
  <sheetFormatPr defaultRowHeight="14.4" x14ac:dyDescent="0.55000000000000004"/>
  <cols>
    <col min="1" max="1" width="20.68359375" customWidth="1"/>
    <col min="2" max="4" width="80.68359375" style="14" customWidth="1"/>
    <col min="5" max="5" width="30.68359375" style="14" customWidth="1"/>
    <col min="6" max="6" width="65.68359375" style="14" customWidth="1"/>
    <col min="7" max="7" width="80.68359375" style="14" customWidth="1"/>
    <col min="8" max="8" width="2.68359375" customWidth="1"/>
    <col min="9" max="11" width="22.68359375" customWidth="1"/>
    <col min="12" max="12" width="2.68359375" customWidth="1"/>
    <col min="13" max="13" width="30.68359375" style="14" customWidth="1"/>
    <col min="14" max="14" width="65.68359375" customWidth="1"/>
  </cols>
  <sheetData>
    <row r="1" spans="1:14" s="32" customFormat="1" ht="20.25" customHeight="1" x14ac:dyDescent="0.55000000000000004">
      <c r="B1" s="78" t="s">
        <v>133</v>
      </c>
      <c r="C1" s="818" t="s">
        <v>881</v>
      </c>
      <c r="D1" s="823" t="s">
        <v>679</v>
      </c>
      <c r="E1" s="831" t="str">
        <f>IF('Program Config'!I2="GENINTEGRATION 31 Migration", "Client JLB Migration PRODCUT4","Client JLB Intregration PRODCUT4")</f>
        <v>Client JLB Intregration PRODCUT4</v>
      </c>
      <c r="F1" s="832"/>
      <c r="G1" s="825" t="s">
        <v>680</v>
      </c>
      <c r="H1" s="858" t="s">
        <v>134</v>
      </c>
      <c r="I1" s="859"/>
      <c r="J1" s="859"/>
      <c r="K1" s="859"/>
      <c r="L1" s="823"/>
      <c r="M1" s="831" t="s">
        <v>884</v>
      </c>
      <c r="N1" s="832"/>
    </row>
    <row r="2" spans="1:14" s="31" customFormat="1" ht="20.25" customHeight="1" thickBot="1" x14ac:dyDescent="0.6">
      <c r="B2" s="79" t="str">
        <f>IF(OR('Program Config'!$C$14="",'Program Config'!$C$14="n/a"),"",IF(AND('Program Config'!$C$14&lt;&gt;"",'Program Config'!$C$14&lt;&gt;"n/a",VLOOKUP('Program Config'!$C$14,'Drop Down Lists'!$B$4:$AO$63,27,FALSE)&lt;&gt;"This component is not necessary"),IF(Concats!$A$8="","",_xlfn.CONCAT(""&amp;(UPPER(SUBSTITUTE(Concats!$A$8,"/",""))&amp;"_")&amp;SUBSTITUTE(VLOOKUP('Program Config'!$C$14,'Drop Down Lists'!$B$4:$AO$63,30,FALSE)," ","_")&amp;"_"&amp;SUBSTITUTE(VLOOKUP('Program Config'!$C$14,'Drop Down Lists'!$B$4:$AO$63,27,FALSE)," ","_"))),""))</f>
        <v>LINKEDIN_CAN_Link_Course_GENINTEGRATION_1-3_JSON</v>
      </c>
      <c r="C2" s="819"/>
      <c r="D2" s="824"/>
      <c r="E2" s="833" t="str">
        <f>IFERROR(IF('Program Config'!$I$2="GENINTEGRATION 31 Migration",HYPERLINK(VLOOKUP('Program Config'!$C$14,'Drop Down Lists'!$B$4:$AO$63,37,FALSE),(VLOOKUP('Program Config'!$C$14,'Drop Down Lists'!$B$4:$AO$63,36,FALSE))),HYPERLINK(VLOOKUP('Program Config'!$C$14,'Drop Down Lists'!$B$4:$AO$63,35,FALSE),(VLOOKUP('Program Config'!$C$14,'Drop Down Lists'!$B$4:$AO$63,34,FALSE)))),"This component has not been configured yet")</f>
        <v>Link to LMS1 GENINTEGRATION 31 Course Placement Integration Type1</v>
      </c>
      <c r="F2" s="834"/>
      <c r="G2" s="826"/>
      <c r="H2" s="860"/>
      <c r="I2" s="861"/>
      <c r="J2" s="861"/>
      <c r="K2" s="861"/>
      <c r="L2" s="862"/>
      <c r="M2" s="841" t="str">
        <f>IFERROR(HYPERLINK(VLOOKUP('Program Config'!$J$8,'Drop Down Lists'!$AY$3:$BA$15,3,FALSE),_xlfn.CONCAT(""&amp;(VLOOKUP('Program Config'!$J$8,'Drop Down Lists'!$AY$3:$BA$11,1,FALSE))&amp;" PRODCUT4 Template")),"This component has not been configured yet")</f>
        <v>LMS3 Rostering + PROD7 PRODCUT4 Template</v>
      </c>
      <c r="N2" s="842"/>
    </row>
    <row r="3" spans="1:14" s="31" customFormat="1" ht="171.75" customHeight="1" thickBot="1" x14ac:dyDescent="0.6">
      <c r="A3" s="238"/>
      <c r="B3" s="820" t="str">
        <f>IFERROR(VLOOKUP('Program Config'!$C$14,'Drop Down Lists'!$B$4:$AO$63,28,FALSE),"This component has not been configured yet")</f>
        <v>{
    "title": "DemoData.com GENINTEGRATION 31",
    "scopes": [],
    "extensions": [
        {
            "platform": "LMS1.instructure.com",
            "settings": {
                "platform": "LMS1.instructure.com",
                "placements": [
                    {
                        "text": "DemoData.com",
                        "placement": "link_selection",
                        "message_type": "GENINTEGRATIONResourceLinkRequest",
                        "windowTarget": "_blank",
                        "target_link_uri": "https://www.linkedin.com/in/jo-ann-balsamo/"
                    },
                   {
                        "text": "DemoData.com",
                        "placement": "course_navigation",
                        "message_type": "GENINTEGRATIONResourceLinkRequest",
                        "windowTarget": "_blank",
                        "target_link_uri": "https://www.linkedin.com/in/jo-ann-balsamo/"
                    }
                          ]
            },
            "privacy_level": "public"
        }
    ],
    "public_jwk": {
        "e": "AQAB",
        "n": "r1TzaUsgF6OhsT_6Q12z9s3loqC5iRd89M3ZLh1TOsOxxecIZXbqnSYOaCM4Nf37sUKJoOor3a-lLjTGndL8xpGV1t6X6quNlU9emRTtu5I9umxxBC9PInWTWTKJyO5G1GSDAovPK4nHBcQ-sqI59Ama0pRf0SGfZOhhqq_dqkK0x3dMYMPCu1YYmtz-HoNbuiQyqpDTgKYZkbsfSn4CapGBc9xoqQtoAyRJQd34KrFXj-RBNSITL5lNxAUvplc6_y5RXCTmmEQs4-v7-npFJkZTxhbE_WG5gtG8JwrbZKqGSioYQXnlp-mF5EeAntDs4AaTPBwjR9XnfXN0URS9gw",
        "alg": "RS256",
        "kid": "sig-2022-03-30T15:54:06Z",
        "kty": "RSA",
        "use": "sig"
    },
    "description": "DemoData.com GENINTEGRATION 31",
    "windowTarget": "_blank",
    "custom_fields": {
        "custom_ap": "DEMO",
        "OA_consumer_DemoData27": "Nonce7"
    },
    "public_jwk_url": "https://www.linkedin.com/in/jo-ann-balsamo//DemoData27set",
    "target_link_uri": "https://www.linkedin.com/in/jo-ann-balsamo/",
    "oidc_initiation_url": "https://www.linkedin.com/in/jo-ann-balsamo/"
 }</v>
      </c>
      <c r="C3" s="80" t="str">
        <f>IFERROR(VLOOKUP('Program Config'!$C$14,'Drop Down Lists'!$B$4:$AO$63,31,FALSE),"This component has not been configured yet")</f>
        <v xml:space="preserve">DemoData27:  Nonce7
DemoData72:  Nocne8
URL:  https://www.linkedin.com/in/jo-ann-balsamo/ </v>
      </c>
      <c r="D3" s="185" t="str">
        <f>IF(_xlfn.XLOOKUP('Program Config'!$C$14,Concats!$A$1:$BB$1,Concats!$A$31:$BB$31)&lt;&gt;0,_xlfn.XLOOKUP('Program Config'!$C$14,Concats!$A$1:$BB$1,Concats!$A$31:$BB$31),"This component has not been configured yet")</f>
        <v>DRAFT
Subject: DEMO / LATEST Platform &amp; Client AP Access
TO: leah.adler@FakeDemoData.com
CC:  gavin.park@FakeDemoData.com; m.chen@demodata.com
BCC: victoria.lane@FakeDemoData.com</v>
      </c>
      <c r="E3" s="835" t="str">
        <f>IF(_xlfn.XLOOKUP('Program Config'!$C$14,Concats!$A$1:$BB$1,Concats!$A$33:$BB$33)&lt;&gt;0,_xlfn.XLOOKUP('Program Config'!$C$14,Concats!$A$1:$BB$1,Concats!$A$33:$BB$33),"This component has not been configured yet")</f>
        <v xml:space="preserve">DRAFT
Attach: JLB Client DemoData727e LMS1 GENINTEGRATION 31 + JSON
Subject: DEMO / DemoData.com LMS1 Integration
TO: w.barnes@demodata.com; t.navarro@demodata.com; n.reed@demodata.com
CC:  leah.adler@FakeDemoData.com; gavin.park@FakeDemoData.com; m.chen@demodata.com
BCC: victoria.lane@FakeDemoData.com
</v>
      </c>
      <c r="F3" s="836"/>
      <c r="G3" s="185" t="str">
        <f>IFERROR(IF(OR('Program Config'!$H$1="MARKET3",'Program Config'!$H$1="MARKET3 PRODUCT2"),"This component is not necessary",IF(_xlfn.XLOOKUP('Program Config'!$C$14,Concats!$A$1:$BB$1,Concats!$A$46:$BB$46)&lt;&gt;0,_xlfn.XLOOKUP('Program Config'!$C$14,Concats!$A$1:$BB$1,Concats!$A$46:$BB$46),"This component has not been configured yet")),"This component has not been configured yet")</f>
        <v>DRAFT
Attach: Program Preferences Sheet
Subject: DEMO / Program Preferences Sheet
TO: w.barnes@demodata.com; t.navarro@demodata.com; n.reed@demodata.com
CC:  leah.adler@FakeDemoData.com; gavin.park@FakeDemoData.com; m.chen@demodata.com
BCC: victoria.lane@FakeDemoData.com</v>
      </c>
      <c r="H3" s="863" t="str">
        <f>IF('Program Config'!$C$14&lt;&gt;"",_xlfn.CONCAT(""&amp;(Concats!$B$53)&amp;"
"),"This component has not been configured yet")</f>
        <v xml:space="preserve">DRAFT
Attach: DemoData.com Tech Setup DemoData727e
Subject: DEMO / DemoData.com Whitelist Request
TO: w.barnes@demodata.com; t.navarro@demodata.com; n.reed@demodata.com
CC:  leah.adler@FakeDemoData.com; gavin.park@FakeDemoData.com; m.chen@demodata.com
BCC: victoria.lane@FakeDemoData.com
</v>
      </c>
      <c r="I3" s="864"/>
      <c r="J3" s="864"/>
      <c r="K3" s="864"/>
      <c r="L3" s="865"/>
      <c r="M3" s="843" t="str">
        <f>IF('Program Config'!$J$8&lt;&gt;"",IF(_xlfn.XLOOKUP('Program Config'!$J$8,Concats!$B$73:$Q$73,Concats!$B$74:$Q$74)&lt;&gt;0,_xlfn.XLOOKUP('Program Config'!$J$8,Concats!$B$73:$Q$73,Concats!$B$74:$Q$74),"This component has not been configured yet or may not be neccessary"),"This component has not been configured yet or may not be neccessary")</f>
        <v>DRAFT
Attach: Client DemoData727es - LMS3 Rostering (PDF)
Subject: DEMO / DemoData.com LMS3 Rostering + PROD7
TO: w.barnes@demodata.com; t.navarro@demodata.com; n.reed@demodata.com
CC:  leah.adler@FakeDemoData.com; gavin.park@FakeDemoData.com; m.chen@demodata.com
BCC: victoria.lane@FakeDemoData.com</v>
      </c>
      <c r="N3" s="844"/>
    </row>
    <row r="4" spans="1:14" s="81" customFormat="1" ht="125.1" customHeight="1" x14ac:dyDescent="0.5">
      <c r="B4" s="821"/>
      <c r="C4" s="175" t="str">
        <f>IFERROR(VLOOKUP('Program Config'!$C$14,'Drop Down Lists'!$B$4:$AO$63,39,FALSE),"This component has not been configured yet")</f>
        <v>DEMO LATEST:  https://www.linkedin.com/in/jo-ann-balsamo
Username: linkedin@PRODUCT4.com 
PW: DemoData2026</v>
      </c>
      <c r="D4" s="827" t="str">
        <f>IFERROR(VLOOKUP('Program Config'!$C$14,'Drop Down Lists'!$B$4:$AO$63,32,FALSE),"This component has not been configured yet")</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E4" s="837" t="str">
        <f>IFERROR(VLOOKUP('Program Config'!$C$14,'Drop Down Lists'!$B$4:$AO$63,33,FALSE),"This component has not been configured yet")</f>
        <v>DRAFT
Attach: JLB Client DemoData727e LMS1 GENINTEGRATION 31 + JSON
Subject: DEMO / DemoData.com LMS1 Integration
TO: w.barnes@demodata.com; t.navarro@demodata.com; n.reed@demodata.com
CC:  leah.adler@FakeDemoData.com; gavin.park@FakeDemoData.com; m.chen@demodata.com
BCC: victoria.lane@FakeDemoData.com
Good Morning,
Thank you, in advance, for helping us integrate DemoData.com as an GENINTEGRATION tool in your LMS1 LMS.
To set up DemoData.com as an External App in LMS1, we recommend the "Paste JSON" method. Please use the MARKET2 JSON to connect to your dedicated DemoData.com program. 
You will also have to paste a redirect link into LMS1.  The redirect link is: https://www.linkedin.com/in/jo-ann-balsamo/
In order to complete the configuration, we will need 2 pieces of information from your set up:
      1.  The CID - Highlighted in Step 7 on Page 3 of the MARKET2 LMS1 Client DemoData727e 
      2.  The Deployment ID - Highlighted in Step 9 on Page 7 of the MARKET2 LMS1 Client DemoData727e 
You can reply to this Type1 to send me both the CID and the Deployment ID; I will respond to let you know the configuration has been completed and it is okay to proceed with testing.
Please Note:  The tool will not launch until both the CID and Deployment ID are added to the configuration.
Once ready, please let me know when you have completed a couple of tests by launching from both student and teacher accounts in varying courses. I will review the data to verify that we have captured /mapped the user and course IDs most suitable for reporting.
If you have any questions about the configuration, please let me know.
Thank you,</v>
      </c>
      <c r="F4" s="838"/>
      <c r="G4" s="829" t="str">
        <f>IFERROR(IF(OR('Program Config'!$H$1="MARKET3",'Program Config'!$H$1="MARKET3 PRODUCT2"),"This component is not necessary",VLOOKUP('Program Config'!$C$14,'Drop Down Lists'!$B$4:$AO$63,38,FALSE)),"This component has not been configured yet")</f>
        <v>DRAFT
Attach: Program Preferences Sheet
Subject: DEMO / Program Preferences Sheet
TO: w.barnes@demodata.com; t.navarro@demodata.com; n.reed@demodata.com
CC:  leah.adler@FakeDemoData.com; gavin.park@FakeDemoData.com; m.chen@demodata.com
BCC: victoria.lane@FakeDemoData.com
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H4" s="845" t="str">
        <f>IF('Program Config'!C14&lt;&gt;"",_xlfn.CONCAT(""&amp;('Drop Down Lists'!BD3)&amp;"
"),"This component has not been configured yet")</f>
        <v xml:space="preserve">DRAFT
Attach: DemoData.com Tech Setup DemoData727e
Subject: DEMO / DemoData.com Whitelist Request
TO: w.barnes@demodata.com; t.navarro@demodata.com; n.reed@demodata.com
CC:  leah.adler@FakeDemoData.com; gavin.park@FakeDemoData.com; m.chen@demodata.com
BCC: victoria.lane@FakeDemoData.com
Good Morning,
Client specific Demodata information. 
. DemoData information about services.
Please see the chart below which outlines the parameters to successfully configure the tool. 
Feel free to forward this request to your IT department and reply to this Type1 when this has been completed.  
</v>
      </c>
      <c r="I4" s="866"/>
      <c r="J4" s="866"/>
      <c r="K4" s="866"/>
      <c r="L4" s="866"/>
      <c r="M4" s="845" t="str">
        <f>IFERROR(VLOOKUP('Program Config'!$J$8,'Drop Down Lists'!AY3:BC15,5,FALSE),"This component has not been configured yet or may not be neccessary")</f>
        <v>DRAFT
Attach: Client DemoData727es - LMS3 Rostering (PDF)
Subject: DEMO / DemoData.com LMS3 Rostering + PROD7
TO: w.barnes@demodata.com; t.navarro@demodata.com; n.reed@demodata.com
CC:  leah.adler@FakeDemoData.com; gavin.park@FakeDemoData.com; m.chen@demodata.com
BCC: victoria.lane@FakeDemoData.com
Good Morning,
I am excited to partner with the DEMO team to set up LMS3 Rostering with the DemoData.com Teacher Dashboard.
I’d like to confirm the current set up of your program and go over the initial steps for LMS3 Rostering.  I have also included some information regarding the rostering workflow and required data pieces in the attachment above. Currently, I understand your DemoData.com program is accessed through a LMS1 - GENINTEGRATION 31 Link &amp; Course NAV connection.  To roster with DemoData.com, we need to verify and then connect via your LMS3 District ID.  Doing so will NOT impact the connection/access point your students/staff are currently using. Can you please confirm that the LMS3 District ID shown below is the correct one for your school district?  Once verified, I will send an invite and sharing recommendations via LMS3 that will both need to be accepted.
****Insert LMS3 District ID Screenshot here****
Once connected in LMS3, we will be able to initiate LMS3 Rostering in our Stage environment and start the data verification process.  During the data verification, we will review what LMS3 is sending us in the rostering files and compare it to what we are receiving from your current connection/access point to make sure it matches.  This will not have an impact on or disrupt the current integration methods.  
An important aspect of the verification process is specific to the username formats received in the roster files. In order to maintain data continuity, the username that we receive from the LMS3 will need to match the username format that is being passed from the current LMS1 - GENINTEGRATION 31 Link &amp; Course NAV integration.
From an initial review of your data, it appears that DEMO is passing the user's ***INSERT FORMAT AND/OR DESCRIPTION OF USERNAME BEING PASSED*** as the username - please see the screenshot below for reference.
***Insert Screenshot of Client's Usernames from SQL Query***
If you are ready to move forward, please notify me so that I send the sharing invite and recommendations in LMS3.  Once both are accepted, I will initiate LMS3 Rostering process in our Stage environment.  After the Stage environment data verification is complete, we will be able to initiate rostering in PRODUCTION for your program.  
Please let me know if you have any questions along the way.  I’m also available to jump on a Teams call to discuss the process if you would prefer.
Thank you,</v>
      </c>
      <c r="N4" s="846"/>
    </row>
    <row r="5" spans="1:14" s="81" customFormat="1" ht="125.1" customHeight="1" thickBot="1" x14ac:dyDescent="0.55000000000000004">
      <c r="B5" s="822"/>
      <c r="C5" s="175" t="str">
        <f>IFERROR(VLOOKUP('Program Config'!$C$14,'Drop Down Lists'!$B$4:$AO$63,40,FALSE),"This component has not been configured yet")</f>
        <v>DEMO AP: https://www.linkedin.com/in//linkedin/AM
Username: linkedin@PRODUCT4.com
PW: DemoData2026</v>
      </c>
      <c r="D5" s="828"/>
      <c r="E5" s="839"/>
      <c r="F5" s="840"/>
      <c r="G5" s="830"/>
      <c r="H5" s="849"/>
      <c r="I5" s="850"/>
      <c r="J5" s="850"/>
      <c r="K5" s="850"/>
      <c r="L5" s="850"/>
      <c r="M5" s="839"/>
      <c r="N5" s="840"/>
    </row>
    <row r="6" spans="1:14" s="81" customFormat="1" ht="45" customHeight="1" x14ac:dyDescent="0.5">
      <c r="A6" s="82" t="str" cm="1">
        <f t="array" ref="A6">IFERROR(_xlfn.IFS(VLOOKUP('Program Config'!$C$14,'Drop Down Lists'!$B$4:$AO$63,27,TRUE)="This component is not necessary","",'Program Config'!$C$14="n/a","",VLOOKUP('Program Config'!$C$14,'Drop Down Lists'!$B$4:$AO$63,27,FALSE)&lt;&gt;"This component is not necessary",_xlfn.CONCAT("Paste View-Only link to client "&amp;(VLOOKUP('Program Config'!$C$14,'Drop Down Lists'!$B$4:$AO$63,27,FALSE)&amp;" file HERE:"))),"")</f>
        <v>Paste View-Only link to client JSON file HERE:</v>
      </c>
      <c r="B6" s="174"/>
      <c r="C6" s="176"/>
      <c r="D6" s="124"/>
      <c r="E6" s="848" t="str" cm="1">
        <f t="array" ref="E6">_xlfn.IFS('Program Config'!$C$14="LMS4", "Directions:
Insert the client link below twice in the table on page 3 of the DemoData727e, save as a PDF and attach to the LMS4 Integrations Client PRODCUT4",'Program Config'!$C$14="LM7 - GENINTEGRATION 31", "Directions:
Insert the Applicaton ID / CID in the table on page 1 of the DemoData727e, save as a PDF and attach to the LM7 Integrations Client PRODCUT4",'Program Config'!$C$14="LMS8 - GENINTEGRATION 31", "Directions:
Insert the DemoData3 Client URL, DemoData27set, and OA Consumer DemoData27 in the table on pages 3-4 and page 9 of the DemoData727e, save as a PDF and attach to the LMS8 Integrations Client PRODCUT4",'Program Config'!$C$14="LMS6 - GENINTEGRATION 31", "Directions:
Update the table on page 3 of the DemoData727e, save as a PDF and attach to the LMS6 Integrations Client PRODCUT4",TRUE,"")</f>
        <v/>
      </c>
      <c r="F6" s="848"/>
      <c r="G6" s="82"/>
      <c r="H6" s="853"/>
      <c r="I6" s="241"/>
      <c r="J6" s="241" t="str">
        <f>IF('Program Config'!C14&lt;&gt;"",'Drop Down Lists'!BF4,"")</f>
        <v>Process</v>
      </c>
      <c r="K6" s="241" t="str">
        <f>IF('Program Config'!C14&lt;&gt;"",'Drop Down Lists'!BG4,"")</f>
        <v>Demodata89</v>
      </c>
      <c r="L6" s="856"/>
      <c r="M6" s="847" t="str" cm="1">
        <f t="array" ref="M6">_xlfn.IFS(OR('Program Config'!$J$8="LMS2 OneRoster", 'Program Config'!$J$8="LMS2 OneRoster + PROD7",'Program Config'!$J$8="LMS2 OneRoster + PROD7 + PRODUCT2"),"Directions:
Insert the IP Address or Hostname on Page 1-1(B), the DemoData2h on Page 1-1(B), and the Username on Page 1-2(B) of the DemoData727e; save as a PDF and attach to the LMS2 Rostering PRODCUT4.", TRUE,"")</f>
        <v/>
      </c>
      <c r="N6" s="847"/>
    </row>
    <row r="7" spans="1:14" s="81" customFormat="1" ht="35.1" customHeight="1" x14ac:dyDescent="0.5">
      <c r="B7" s="144"/>
      <c r="C7" s="82"/>
      <c r="D7" s="120"/>
      <c r="E7" s="120" t="str" cm="1">
        <f t="array" ref="E7">_xlfn.IFS('Program Config'!$C$14="LMS4", "SSO (ACS) URL:",'Program Config'!$C$14="LMS6 - GENINTEGRATION 31", "Tool Name:",  'Program Config'!$C$14="LMS8 - GENINTEGRATION 31", "Name Field:",'Program Config'!$C$14="LM7 - GENINTEGRATION 31", "Application ID / CID:",TRUE,"")</f>
        <v/>
      </c>
      <c r="F7" s="122" t="str" cm="1">
        <f t="array" ref="F7">_xlfn.IFS('Program Config'!$C$14="LMS4", _xlfn.CONCAT("https://www.linkedin.com/in/jo-ann-balsamo"&amp;('Program Config'!$C$28)&amp;""), 'Program Config'!$C$14="LMS8 - GENINTEGRATION 31", "DemoData3",'Program Config'!$C$14="LMS6 - GENINTEGRATION 31", _xlfn.CONCAT("DemoData.com"),'Program Config'!$C$14="LM7 - GENINTEGRATION 31", _xlfn.CONCAT('Program Config'!N30), TRUE,"")</f>
        <v/>
      </c>
      <c r="G7" s="82"/>
      <c r="H7" s="854"/>
      <c r="I7" s="178" t="str">
        <f>IF('Program Config'!C14&lt;&gt;"",'Drop Down Lists'!BE5,"")</f>
        <v>*.DemoData4.com</v>
      </c>
      <c r="J7" s="178" t="str">
        <f>IF('Program Config'!C14&lt;&gt;"",'Drop Down Lists'!BF5,"")</f>
        <v>JLB</v>
      </c>
      <c r="K7" s="178" t="str">
        <f>IF('Program Config'!C14&lt;&gt;"",'Drop Down Lists'!BG5,"")</f>
        <v>###</v>
      </c>
      <c r="L7" s="857"/>
      <c r="M7" s="120" t="str" cm="1">
        <f t="array" ref="M7">_xlfn.IFS(OR('Program Config'!$J$8="LMS2 OneRoster", 'Program Config'!$J$8="LMS2 OneRoster + PROD7",'Program Config'!$J$8="LMS2 OneRoster + PROD7 + PRODUCT2"),"Page 1 - 1(A) 
Protocol", TRUE,"")</f>
        <v/>
      </c>
      <c r="N7" s="239" t="str" cm="1">
        <f t="array" ref="N7">_xlfn.IFS(OR('Program Config'!$J$8="LMS2 OneRoster", 'Program Config'!$J$8="LMS2 OneRoster + PROD7",'Program Config'!$J$8="LMS2 OneRoster + PROD7 + PRODUCT2"),"SFTP", TRUE,"")</f>
        <v/>
      </c>
    </row>
    <row r="8" spans="1:14" s="85" customFormat="1" ht="35.1" customHeight="1" x14ac:dyDescent="0.55000000000000004">
      <c r="A8"/>
      <c r="B8" s="11"/>
      <c r="C8" s="84"/>
      <c r="E8" s="120" t="str" cm="1">
        <f t="array" ref="E8">_xlfn.IFS('Program Config'!$C$14="LMS4", "Entity ID:",'Program Config'!$C$14="LMS6 - GENINTEGRATION 31", "Tool URL:",'Program Config'!$C$14="LMS8 - GENINTEGRATION 31", "Description:", 'Program Config'!$C$14="LM7 - GENINTEGRATION 31", "Link to LMS7Client DemoData727e:",TRUE,"")</f>
        <v/>
      </c>
      <c r="F8" s="122" t="str" cm="1">
        <f t="array" ref="F8">_xlfn.IFS('Program Config'!$C$14="LMS4", _xlfn.CONCAT("https://www.linkedin.com/in/jo-ann-balsamo"&amp;('Program Config'!$C$28)&amp;""),'Program Config'!$C$14="LMS8 - GENINTEGRATION 31", "Add Tool description.  This can be anything that will help you recognize the tool.  Recommendation: 24/7 On Demand DemoDatPRODUCT4 ng",'Program Config'!$C$14="LMS6 - GENINTEGRATION 31", _xlfn.CONCAT('Program Config'!$C$34), 'Program Config'!$C$14="LM7 - GENINTEGRATION 31", (HYPERLINK("https://www.linkedin.com/in/jo-ann-balsamo","External LM7 GENINTEGRATION 1-3 Client DemoData727e")),TRUE,"")</f>
        <v/>
      </c>
      <c r="G8" s="145" t="str" cm="1">
        <f t="array" ref="G8">_xlfn.IFS('Program Config'!$C$14="LMS4", "",'Program Config'!$C$14="LMS6 - GENINTEGRATION 31", "", 'Program Config'!$C$14="LMS8 - GENINTEGRATION 31", "",'Program Config'!$C$14="LM7 - GENINTEGRATION 31", "Paste link to View-Only Customized Client DemoData727e below:",TRUE,"")</f>
        <v/>
      </c>
      <c r="H8" s="854"/>
      <c r="I8" s="179" t="str">
        <f>IF('Program Config'!C14&lt;&gt;"",'Drop Down Lists'!BE6,"")</f>
        <v>*.DemoData.com</v>
      </c>
      <c r="J8" s="178" t="str">
        <f>IF('Program Config'!C14&lt;&gt;"",'Drop Down Lists'!BF6,"")</f>
        <v>JLB</v>
      </c>
      <c r="K8" s="178" t="str">
        <f>IF('Program Config'!C14&lt;&gt;"",'Drop Down Lists'!BG6,"")</f>
        <v>###</v>
      </c>
      <c r="L8" s="857"/>
      <c r="M8" s="120" t="str" cm="1">
        <f t="array" ref="M8">_xlfn.IFS(OR('Program Config'!$J$8="LMS2 OneRoster", 'Program Config'!$J$8="LMS2 OneRoster + PROD7",'Program Config'!$J$8="LMS2 OneRoster + PROD7 + PRODUCT2"),"Page 1 - 1(B) 
IP Address or Hostname", TRUE,"")</f>
        <v/>
      </c>
      <c r="N8" s="239" t="str" cm="1">
        <f t="array" ref="N8">_xlfn.IFS(OR('Program Config'!$J$8="LMS2 OneRoster", 'Program Config'!$J$8="LMS2 OneRoster + PROD7",'Program Config'!$J$8="LMS2 OneRoster + PROD7 + PRODUCT2"),"LATEST-sftp01.DemoData.com", TRUE,"")</f>
        <v/>
      </c>
    </row>
    <row r="9" spans="1:14" s="85" customFormat="1" ht="35.1" customHeight="1" x14ac:dyDescent="0.55000000000000004">
      <c r="A9"/>
      <c r="B9" s="11"/>
      <c r="C9" s="84"/>
      <c r="E9" s="120" t="str" cm="1">
        <f t="array" ref="E9">_xlfn.IFS('Program Config'!$C$14="LMS4", "Start URL:",'Program Config'!$C$14="LMS6 - GENINTEGRATION 31", "Tool Description:", 'Program Config'!$C$14="LMS8 - GENINTEGRATION 31", "DomPRODUCT4 n:",'Program Config'!$C$14="LM7 - GENINTEGRATION 31", "Save as PDF &amp; Link File:",TRUE,"")</f>
        <v/>
      </c>
      <c r="F9" s="122" t="str" cm="1">
        <f t="array" ref="F9">_xlfn.IFS('Program Config'!$C$14="LMS4", "Leave Blank",'Program Config'!$C$14="LMS6 - GENINTEGRATION 31", "DemoData.com GENINTEGRATION 31", 'Program Config'!$C$14="LMS8 - GENINTEGRATION 31", IF('Program Config'!M27&lt;&gt;"",'Program Config'!M27,"https://www.linkedin.com/in/jo-ann-balsamo"), 'Program Config'!$C$14="LM7 - GENINTEGRATION 31",_xlfn.CONCAT(""&amp;(SUBSTITUTE(UPPER(Concats!$A$8),"/",""))&amp;"_BB_GENINTEGRATION_1-3_Client_DemoData727e"),TRUE,"")</f>
        <v/>
      </c>
      <c r="G9" s="146"/>
      <c r="H9" s="855"/>
      <c r="I9" s="179" t="str">
        <f>IF('Program Config'!C14&lt;&gt;"",'Drop Down Lists'!BE7,"")</f>
        <v>*.linkedin.com/in/jo-ann-balsamo/</v>
      </c>
      <c r="J9" s="180" t="str">
        <f>IF('Program Config'!C14&lt;&gt;"",'Drop Down Lists'!BF7,"")</f>
        <v>JLB</v>
      </c>
      <c r="K9" s="178" t="str">
        <f>IF('Program Config'!C14&lt;&gt;"",'Drop Down Lists'!BG7,"")</f>
        <v>###</v>
      </c>
      <c r="L9" s="857"/>
      <c r="M9" s="120" t="str" cm="1">
        <f t="array" ref="M9">_xlfn.IFS(OR('Program Config'!$J$8="LMS2 OneRoster", 'Program Config'!$J$8="LMS2 OneRoster + PROD7",'Program Config'!$J$8="LMS2 OneRoster + PROD7 + PRODUCT2"),"Page 1 - 1(C) 
Port", TRUE,"")</f>
        <v/>
      </c>
      <c r="N9" s="239" t="str" cm="1">
        <f t="array" ref="N9">_xlfn.IFS(OR('Program Config'!$J$8="LMS2 OneRoster", 'Program Config'!$J$8="LMS2 OneRoster + PROD7",'Program Config'!$J$8="LMS2 OneRoster + PROD7 + PRODUCT2"),"22", TRUE,"")</f>
        <v/>
      </c>
    </row>
    <row r="10" spans="1:14" ht="35.1" customHeight="1" x14ac:dyDescent="0.55000000000000004">
      <c r="B10" s="11"/>
      <c r="E10" s="120" t="str" cm="1">
        <f t="array" ref="E10">_xlfn.IFS('Program Config'!$C$14="LMS4", "Signed Response:",'Program Config'!$C$14="LMS8 - GENINTEGRATION 31", "Redirect URL:",'Program Config'!$C$14="LMS6 - GENINTEGRATION 31", "Tool Description:", 'Program Config'!$C$14="LM7 - GENINTEGRATION 31", "Paste Link to Customized Client DemoData727e HERE:",TRUE,"")</f>
        <v/>
      </c>
      <c r="F10" s="122" t="str" cm="1">
        <f t="array" ref="F10">_xlfn.IFS('Program Config'!$C$14="LMS4","Checked",'Program Config'!$C$14="LMS8 - GENINTEGRATION 31",  _xlfn.CONCAT('Program Config'!$C$34),'Program Config'!$C$14="LMS6 - GENINTEGRATION 31","Select GENINTEGRATION 31 from the dropdown",TRUE,"")</f>
        <v/>
      </c>
      <c r="H10" s="855"/>
      <c r="I10" s="184"/>
      <c r="J10" s="179" t="str">
        <f>IF('Program Config'!C14&lt;&gt;"",'Drop Down Lists'!BF8,"")</f>
        <v>JLB</v>
      </c>
      <c r="K10" s="180" t="str">
        <f>IF('Program Config'!C14&lt;&gt;"",'Drop Down Lists'!BG8,"")</f>
        <v>####–######</v>
      </c>
      <c r="L10" s="857"/>
      <c r="M10" s="120" t="str" cm="1">
        <f t="array" ref="M10">_xlfn.IFS(OR('Program Config'!$J$8="LMS2 OneRoster", 'Program Config'!$J$8="LMS2 OneRoster + PROD7",'Program Config'!$J$8="LMS2 OneRoster + PROD7 + PRODUCT2"),"Page 1 - 1(D) 
DemoData2h", TRUE,"")</f>
        <v/>
      </c>
      <c r="N10" s="239" t="str" cm="1">
        <f t="array" ref="N10">_xlfn.IFS(OR('Program Config'!$J$8="LMS2 OneRoster",'Program Config'!$J$8="LMS2 OneRoster + PROD7",'Program Config'!$J$8="LMS2 OneRoster + PROD7 + PRODUCT2"),IF('Program Config'!C28&lt;&gt;"",_xlfn.CONCAT("/prd-LATEST-rostering/"&amp;('Program Config'!C28)&amp;"/home"),"This component requires the DemoData727"),TRUE,"")</f>
        <v/>
      </c>
    </row>
    <row r="11" spans="1:14" ht="35.1" customHeight="1" x14ac:dyDescent="0.55000000000000004">
      <c r="B11" s="11"/>
      <c r="E11" s="120" t="str" cm="1">
        <f t="array" ref="E11">_xlfn.IFS('Program Config'!$C$14="LMS4", "Name ID Format:",'Program Config'!$C$14="LMS8 - GENINTEGRATION 31", "Open Connect LI URL:",'Program Config'!$C$14="LMS6 - GENINTEGRATION 31", "Public DemoData27 Type:", TRUE,"")</f>
        <v/>
      </c>
      <c r="F11" s="122" t="str" cm="1">
        <f t="array" ref="F11">_xlfn.IFS('Program Config'!$C$14="LMS4","Typically PRODCUT4, but the format is up to your discretion",'Program Config'!$C$14="LMS8 - GENINTEGRATION 31",  _xlfn.CONCAT('Program Config'!$C$34),'Program Config'!$C$14="LMS6 - GENINTEGRATION 31","Select DemoData27set URL from the dropdown",TRUE,"")</f>
        <v/>
      </c>
      <c r="H11" s="169"/>
      <c r="I11" s="867" t="str">
        <f>IF('Program Config'!C14&lt;&gt;"",'Drop Down Lists'!BE9,"")</f>
        <v>@DemoData.com</v>
      </c>
      <c r="J11" s="867"/>
      <c r="K11" s="867"/>
      <c r="L11" s="177"/>
      <c r="M11"/>
      <c r="N11" s="7"/>
    </row>
    <row r="12" spans="1:14" ht="35.1" customHeight="1" x14ac:dyDescent="0.55000000000000004">
      <c r="B12" s="11"/>
      <c r="D12" s="120"/>
      <c r="E12" s="120" t="str" cm="1">
        <f t="array" ref="E12">_xlfn.IFS('Program Config'!$C$14="LMS4", "Name ID:",'Program Config'!$C$14="LMS8 - GENINTEGRATION 31", "Target Link URL:",'Program Config'!$C$14="LMS6 - GENINTEGRATION 31", "Public DemoData27set:", TRUE,"")</f>
        <v/>
      </c>
      <c r="F12" s="122" t="str" cm="1">
        <f t="array" ref="F12">_xlfn.IFS('Program Config'!$C$14="LMS4", "Basic Information, Primary PRODCUT4",'Program Config'!$C$14="LMS8 - GENINTEGRATION 31",  _xlfn.CONCAT('Program Config'!$C$34),'Program Config'!$C$14="LMS6 - GENINTEGRATION 31", _xlfn.CONCAT('Program Config'!$C$34)&amp;"/DemoData27set", TRUE,"")</f>
        <v/>
      </c>
      <c r="H12" s="169"/>
      <c r="I12" s="868" t="str">
        <f>IF('Program Config'!C14&lt;&gt;"",'Drop Down Lists'!BE10,"")</f>
        <v>Please ensure DMARC=pass</v>
      </c>
      <c r="J12" s="868"/>
      <c r="K12" s="868"/>
      <c r="L12" s="177"/>
      <c r="M12" s="120" t="str" cm="1">
        <f t="array" ref="M12">_xlfn.IFS(OR('Program Config'!$J$8="LMS2 OneRoster", 'Program Config'!$J$8="LMS2 OneRoster + PROD7",'Program Config'!$J$8="LMS2 OneRoster + PROD7 + PRODUCT2"),"Page 1 - 2(A) 
Click", TRUE,"")</f>
        <v/>
      </c>
      <c r="N12" s="239" t="str" cm="1">
        <f t="array" ref="N12">_xlfn.IFS(OR('Program Config'!$J$8="LMS2 OneRoster", 'Program Config'!$J$8="LMS2 OneRoster + PROD7",'Program Config'!$J$8="LMS2 OneRoster + PROD7 + PRODUCT2"),"Use SSH DemoData27", TRUE,"")</f>
        <v/>
      </c>
    </row>
    <row r="13" spans="1:14" ht="35.1" customHeight="1" x14ac:dyDescent="0.55000000000000004">
      <c r="B13" s="11"/>
      <c r="D13" s="120"/>
      <c r="E13" s="120" t="str" cm="1">
        <f t="array" ref="E13">_xlfn.IFS('Program Config'!$C$14="LMS4", "Link to LMS4 Client DemoData727e:",'Program Config'!$C$14="LMS8 - GENINTEGRATION 31", "DemoData27set URL:",'Program Config'!$C$14="LMS6 - GENINTEGRATION 31", "ILU:", TRUE,"")</f>
        <v/>
      </c>
      <c r="F13" s="122" t="str" cm="1">
        <f t="array" ref="F13">_xlfn.IFS('Program Config'!$C$14="LMS4", (HYPERLINK("https://www.linkedin.com/in/jo-ann-balsamo","CREATE LMS4 GENINTEGRATION APPLICATION DemoData727e")),'Program Config'!$C$14="LMS8 - GENINTEGRATION 31", _xlfn.CONCAT('Program Config'!$C$34)&amp;"/DemoData27set",'Program Config'!$C$14="LMS6 - GENINTEGRATION 31", _xlfn.CONCAT('Program Config'!$C$34)&amp;"", TRUE,"")</f>
        <v/>
      </c>
      <c r="G13" s="170" t="str" cm="1">
        <f t="array" ref="G13">_xlfn.IFS('Program Config'!$C$14="LMS4", "Paste link to customized Client DemoData727e below:",'Program Config'!$C$14="LMS6 - GENINTEGRATION 31", "", 'Program Config'!$C$14="LMS8 - GENINTEGRATION 31", "",'Program Config'!$C$14="LM7 - GENINTEGRATION 31", "",TRUE,"")</f>
        <v/>
      </c>
      <c r="H13" s="849" t="str">
        <f>IF('Program Config'!C14&lt;&gt;"",_xlfn.CONCAT("
"&amp;('Drop Down Lists'!BD11)&amp;"
"),"")</f>
        <v xml:space="preserve">
Regarding the DEMODATA:
•	CLIENT specific demodata.
If you have any questions, please contact me.
Thank you,
</v>
      </c>
      <c r="I13" s="850"/>
      <c r="J13" s="850"/>
      <c r="K13" s="850"/>
      <c r="L13" s="851"/>
      <c r="M13" s="120" t="str" cm="1">
        <f t="array" ref="M13">_xlfn.IFS(OR('Program Config'!$J$8="LMS2 OneRoster", 'Program Config'!$J$8="LMS2 OneRoster + PROD7",'Program Config'!$J$8="LMS2 OneRoster + PROD7 + PRODUCT2"),"Page 1 - 2(B) 
Add Username", TRUE,"")</f>
        <v/>
      </c>
      <c r="N13" s="239" t="str" cm="1">
        <f t="array" ref="N13">_xlfn.IFS(OR('Program Config'!$J$8="LMS2 OneRoster", 'Program Config'!$J$8="LMS2 OneRoster + PROD7",'Program Config'!$J$8="LMS2 OneRoster + PROD7 + PRODUCT2"),IF('Program Config'!C28&lt;&gt;"",_xlfn.CONCAT("roster-"&amp;('Program Config'!C28)&amp;""),"This component requires the DemoData727"), TRUE,"")</f>
        <v/>
      </c>
    </row>
    <row r="14" spans="1:14" ht="35.1" customHeight="1" x14ac:dyDescent="0.55000000000000004">
      <c r="B14" s="11"/>
      <c r="D14" s="120"/>
      <c r="E14" s="120" t="str" cm="1">
        <f t="array" ref="E14">_xlfn.IFS('Program Config'!$C$14="LMS4", "Save PDF As:",'Program Config'!$C$14="LMS8 - GENINTEGRATION 31", "", 'Program Config'!$C$14="LMS6 - GENINTEGRATION 31", "Redirection URL(s):", TRUE,"")</f>
        <v/>
      </c>
      <c r="F14" s="122" t="str" cm="1">
        <f t="array" ref="F14">_xlfn.IFS('Program Config'!$C$14="LMS4", _xlfn.CONCAT(""&amp;(SUBSTITUTE(UPPER(Concats!$A$8),"/",""))&amp;"_LMS4_Client_DemoData727e"),'Program Config'!$C$14="LMS6 - GENINTEGRATION 31", _xlfn.CONCAT('Program Config'!$C$34)&amp;"", TRUE,"")</f>
        <v/>
      </c>
      <c r="G14" s="146"/>
      <c r="H14" s="849"/>
      <c r="I14" s="850"/>
      <c r="J14" s="850"/>
      <c r="K14" s="850"/>
      <c r="L14" s="851"/>
      <c r="M14" s="120" t="str" cm="1">
        <f t="array" ref="M14">_xlfn.IFS(OR('Program Config'!$J$8="LMS2 OneRoster", 'Program Config'!$J$8="LMS2 OneRoster + PROD7",'Program Config'!$J$8="LMS2 OneRoster + PROD7 + PRODUCT2"),"Page 1 - 2(C) 
Click", TRUE,"")</f>
        <v/>
      </c>
      <c r="N14" s="239" t="str" cm="1">
        <f t="array" ref="N14">_xlfn.IFS(OR('Program Config'!$J$8="LMS2 OneRoster", 'Program Config'!$J$8="LMS2 OneRoster + PROD7",'Program Config'!$J$8="LMS2 OneRoster + PROD7 + PRODUCT2"),"Generate SSH DemoData27", TRUE,"")</f>
        <v/>
      </c>
    </row>
    <row r="15" spans="1:14" ht="35.1" customHeight="1" x14ac:dyDescent="0.55000000000000004">
      <c r="B15" s="11"/>
      <c r="D15" s="120"/>
      <c r="E15" s="120" t="str" cm="1">
        <f t="array" ref="E15">_xlfn.IFS('Program Config'!$C$14="LMS4", "Link to LMS4 Video Zip",'Program Config'!$C$14="LMS8 - GENINTEGRATION 31", "Extensions:",'Program Config'!$C$14="LMS6 - GENINTEGRATION 31", "Custom Parameters:", TRUE,"")</f>
        <v/>
      </c>
      <c r="F15" s="122" t="str" cm="1">
        <f t="array" ref="F15">_xlfn.IFS('Program Config'!$C$14="LMS4",(HYPERLINK("https://www.linkedin.com/in/jo-ann-balsamo")),'Program Config'!$C$14="LMS8 - GENINTEGRATION 31", "Click Names and Role Provisioning Services
Note: The boxes for Assignment and Grade Services &amp; Deep Linking will remPRODUCT4 n unchecked",'Program Config'!$C$14="LMS6 - GENINTEGRATION 31",_xlfn.CONCAT("OA_consumer_DemoData27="&amp;('Program Config'!$C$30)&amp;""),TRUE,"")</f>
        <v/>
      </c>
      <c r="G15" s="145"/>
      <c r="H15" s="849"/>
      <c r="I15" s="850"/>
      <c r="J15" s="850"/>
      <c r="K15" s="850"/>
      <c r="L15" s="851"/>
      <c r="M15" s="120" t="str" cm="1">
        <f t="array" ref="M15">_xlfn.IFS(OR('Program Config'!$J$8="LMS2 OneRoster", 'Program Config'!$J$8="LMS2 OneRoster + PROD7",'Program Config'!$J$8="LMS2 OneRoster + PROD7 + PRODUCT2"),"Page 1 - 2(D) 
Click", TRUE,"")</f>
        <v/>
      </c>
      <c r="N15" s="239" t="str" cm="1">
        <f t="array" ref="N15">_xlfn.IFS(OR('Program Config'!$J$8="LMS2 OneRoster", 'Program Config'!$J$8="LMS2 OneRoster + PROD7",'Program Config'!$J$8="LMS2 OneRoster + PROD7 + PRODUCT2"),"Export SSH DemoData27", TRUE,"")</f>
        <v/>
      </c>
    </row>
    <row r="16" spans="1:14" ht="35.1" customHeight="1" x14ac:dyDescent="0.55000000000000004">
      <c r="B16" s="11"/>
      <c r="D16" s="120"/>
      <c r="E16" s="120" t="str" cm="1">
        <f t="array" ref="E16">_xlfn.IFS('Program Config'!$C$14="LMS4", "Link to JLB Logo",'Program Config'!$C$14="LMS8 - GENINTEGRATION 31", "Roles:",'Program Config'!$C$14="LMS6 - GENINTEGRATION 31", "Tool Configuration Usage:", TRUE,"")</f>
        <v/>
      </c>
      <c r="F16" s="122" t="str" cm="1">
        <f t="array" ref="F16">_xlfn.IFS('Program Config'!$C$14="LMS4", (HYPERLINK("https://www.linkedin.com/in/jo-ann-balsamo","JLB Circle Logo")),'Program Config'!$C$14="LMS8 - GENINTEGRATION 31", "Check Send Institution Role",'Program Config'!$C$14="LMS6 - GENINTEGRATION 31", "Select from the dropdown - Show in activity chooser and as a pre-configured tool. The tool can be shown in the activity chooser for an instructor to select and add to a course. (Recommended for DemoData.com)", TRUE,"")</f>
        <v/>
      </c>
      <c r="G16" s="145"/>
      <c r="H16" s="849"/>
      <c r="I16" s="850"/>
      <c r="J16" s="850"/>
      <c r="K16" s="850"/>
      <c r="L16" s="851"/>
      <c r="M16"/>
      <c r="N16" s="7"/>
    </row>
    <row r="17" spans="2:14" ht="35.1" customHeight="1" x14ac:dyDescent="0.55000000000000004">
      <c r="B17" s="11"/>
      <c r="D17" s="120"/>
      <c r="E17" s="120" t="str" cm="1">
        <f t="array" ref="E17">_xlfn.IFS('Program Config'!$C$14="LMS4", "",'Program Config'!$C$14="LMS8 - GENINTEGRATION 31", "Substitution Parameters:",'Program Config'!$C$14="LMS6 - GENINTEGRATION 31", "Default Launch ContPRODUCT4 ner:", TRUE,"")</f>
        <v/>
      </c>
      <c r="F17" s="121" t="str" cm="1">
        <f t="array" ref="F17">_xlfn.IFS('Program Config'!$C$14="LMS4", "",'Program Config'!$C$14="LMS8 - GENINTEGRATION 31", "Leave this box blank",'Program Config'!$C$14="LMS6 - GENINTEGRATION 31", "Select - New window (Must Be Enabled for DemoData.com) - The tool opens in a new window, occupying all the avPRODUCT4 lable space.", TRUE,"")</f>
        <v/>
      </c>
      <c r="H17" s="849"/>
      <c r="I17" s="850"/>
      <c r="J17" s="850"/>
      <c r="K17" s="850"/>
      <c r="L17" s="851"/>
      <c r="M17" s="120" t="str" cm="1">
        <f t="array" ref="M17">_xlfn.IFS(OR('Program Config'!$J$8="LMS2 OneRoster", 'Program Config'!$J$8="LMS2 OneRoster + PROD7",'Program Config'!$J$8="LMS2 OneRoster + PROD7 + PRODUCT2"),"Link to the DemoData Rostering via LMS2 DemoData727e", TRUE,"")</f>
        <v/>
      </c>
      <c r="N17" s="240" t="str" cm="1">
        <f t="array" ref="N17">_xlfn.IFS(OR('Program Config'!$J$8="LMS2 OneRoster", 'Program Config'!$J$8="LMS2 OneRoster + PROD7",'Program Config'!$J$8="LMS2 OneRoster + PROD7 + PRODUCT2"),(HYPERLINK("https://www.linkedin.com/in/jo-ann-balsamo","DemoData Rostering via LMS2 (PROD) DemoData727e")),TRUE,"")</f>
        <v/>
      </c>
    </row>
    <row r="18" spans="2:14" ht="35.1" customHeight="1" thickBot="1" x14ac:dyDescent="0.6">
      <c r="B18" s="11"/>
      <c r="D18" s="120"/>
      <c r="E18" s="120" t="str" cm="1">
        <f t="array" ref="E18">_xlfn.IFS('Program Config'!$C$14="LMS4", "",'Program Config'!$C$14="LMS6 - GENINTEGRATION 31", "Link to LMS6 Client DemoData727e:", TRUE,"")</f>
        <v/>
      </c>
      <c r="F18" s="121" t="str" cm="1">
        <f t="array" ref="F18">_xlfn.IFS('Program Config'!$C$14="LMS4",  "",'Program Config'!$C$14="LMS6 - GENINTEGRATION 31", (HYPERLINK("https://www.linkedin.com/in/jo-ann-balsamo","LMS6 GENINTEGRATION 1-3 Client DemoData727e 2023")), TRUE,"")</f>
        <v/>
      </c>
      <c r="G18" s="145" t="str" cm="1">
        <f t="array" ref="G18">_xlfn.IFS('Program Config'!$C$14="LMS4", "",'Program Config'!$C$14="LMS6 - GENINTEGRATION 31", "Paste link to customized Client DemoData727e below:", 'Program Config'!$C$14="LMS8 - GENINTEGRATION 31", "",'Program Config'!$C$14="LM7 - GENINTEGRATION 31", "",TRUE,"")</f>
        <v/>
      </c>
      <c r="H18" s="839"/>
      <c r="I18" s="852"/>
      <c r="J18" s="852"/>
      <c r="K18" s="852"/>
      <c r="L18" s="840"/>
      <c r="M18" s="120" t="str" cm="1">
        <f t="array" ref="M18">_xlfn.IFS(OR('Program Config'!$J$8="LMS2 OneRoster", 'Program Config'!$J$8="LMS2 OneRoster + PROD7",'Program Config'!$J$8="LMS2 OneRoster + PROD7 + PRODUCT2"),"Save PDF As:", TRUE,"")</f>
        <v/>
      </c>
      <c r="N18" s="7" t="str" cm="1">
        <f t="array" ref="N18">_xlfn.IFS(OR('Program Config'!$J$8="LMS2 OneRoster", 'Program Config'!$J$8="LMS2 OneRoster + PROD7",'Program Config'!$J$8="LMS2 OneRoster + PROD7 + PRODUCT2"),_xlfn.CONCAT(""&amp;(SUBSTITUTE(UPPER(Concats!$A$8),"/",""))&amp;"_LMS2_OneRoster_Client_DemoData727e"), TRUE,"")</f>
        <v/>
      </c>
    </row>
    <row r="19" spans="2:14" ht="35.1" customHeight="1" x14ac:dyDescent="0.55000000000000004">
      <c r="B19" s="11"/>
      <c r="D19" s="120"/>
      <c r="E19" s="120" t="str" cm="1">
        <f t="array" ref="E19">_xlfn.IFS('Program Config'!$C$14="LMS4", "",'Program Config'!$C$14="LMS8 - GENINTEGRATION 31", "Custom Parameter:",'Program Config'!$C$14="LMS6 - GENINTEGRATION 31", "Save PDF As:", TRUE,"")</f>
        <v/>
      </c>
      <c r="F19" s="127" t="str" cm="1">
        <f t="array" ref="F19">_xlfn.IFS('Program Config'!$C$14="LMS4","",'Program Config'!$C$14="LMS8 - GENINTEGRATION 31", "Click +Add Custom Parameter",'Program Config'!$C$14="LMS6 - GENINTEGRATION 31",_xlfn.CONCAT(""&amp;(SUBSTITUTE(UPPER(Concats!$A$8),"/",""))&amp;"_LMS6_GENINTEGRATION_1-3_Client_DemoData727e"),TRUE,"")</f>
        <v/>
      </c>
      <c r="G19" s="146"/>
      <c r="M19" s="120" t="str" cm="1">
        <f t="array" ref="M19">_xlfn.IFS(OR('Program Config'!$J$8="LMS2 OneRoster", 'Program Config'!$J$8="LMS2 OneRoster + PROD7",'Program Config'!$J$8="LMS2 OneRoster + PROD7 + PRODUCT2"),"Paste Link to Customized Rostering DemoData727e", TRUE,"")</f>
        <v/>
      </c>
      <c r="N19" s="146"/>
    </row>
    <row r="20" spans="2:14" ht="35.1" customHeight="1" x14ac:dyDescent="0.55000000000000004">
      <c r="B20" s="11"/>
      <c r="D20" s="125"/>
      <c r="E20" s="125" t="str" cm="1">
        <f t="array" ref="E20">_xlfn.IFS('Program Config'!$C$14="LMS4", "",'Program Config'!$C$14="LMS8 - GENINTEGRATION 31", "Name Field:", 'Program Config'!$C$14="LMS6 - GENINTEGRATION 31", "", TRUE,"")</f>
        <v/>
      </c>
      <c r="F20" s="128" t="str" cm="1">
        <f t="array" ref="F20">_xlfn.IFS('Program Config'!$C$14="LMS4", "",'Program Config'!$C$14="LMS8 - GENINTEGRATION 31", "OA_consumer_DemoData27", 'Program Config'!$C$14="LMS6 - GENINTEGRATION 31", "", TRUE,"")</f>
        <v/>
      </c>
      <c r="M20"/>
    </row>
    <row r="21" spans="2:14" ht="35.1" customHeight="1" x14ac:dyDescent="0.55000000000000004">
      <c r="B21" s="11"/>
      <c r="D21" s="125"/>
      <c r="E21" s="125" t="str" cm="1">
        <f t="array" ref="E21">_xlfn.IFS('Program Config'!$C$14="LMS4", "",'Program Config'!$C$14="LMS8 - GENINTEGRATION 31", "Value Field:", 'Program Config'!$C$14="LMS6 - GENINTEGRATION 31", "", TRUE,"")</f>
        <v/>
      </c>
      <c r="F21" s="128" t="str" cm="1">
        <f t="array" ref="F21">_xlfn.IFS('Program Config'!$C$14="LMS4", "",'Program Config'!$C$14="LMS8 - GENINTEGRATION 31", _xlfn.CONCAT('Program Config'!$C$30), 'Program Config'!$C$14="LMS6 - GENINTEGRATION 31", "", TRUE,"")</f>
        <v/>
      </c>
      <c r="M21"/>
    </row>
    <row r="22" spans="2:14" ht="35.1" customHeight="1" x14ac:dyDescent="0.55000000000000004">
      <c r="B22" s="11"/>
      <c r="D22" s="120"/>
      <c r="E22" s="120" t="str" cm="1">
        <f t="array" ref="E22">_xlfn.IFS('Program Config'!$C$14="LMS4", "",'Program Config'!$C$14="LMS6 - GENINTEGRATION 31", "", TRUE,"")</f>
        <v/>
      </c>
      <c r="F22" s="121" t="str" cm="1">
        <f t="array" ref="F22">_xlfn.IFS('Program Config'!$C$14="LMS4",  "",'Program Config'!$C$14="LMS6 - GENINTEGRATION 31", "", TRUE,"")</f>
        <v/>
      </c>
      <c r="G22" s="145"/>
      <c r="M22"/>
    </row>
    <row r="23" spans="2:14" ht="35.1" customHeight="1" x14ac:dyDescent="0.55000000000000004">
      <c r="B23" s="11"/>
      <c r="D23" s="126"/>
      <c r="E23" s="126" t="str" cm="1">
        <f t="array" ref="E23">_xlfn.IFS('Program Config'!$C$14="LMS4", "",'Program Config'!$C$14="LMS8 - GENINTEGRATION 31", "Page 9 Step 7(b) - URL:", 'Program Config'!$C$14="LMS6 - GENINTEGRATION 31", "", TRUE,"")</f>
        <v/>
      </c>
      <c r="F23" s="128" t="str" cm="1">
        <f t="array" ref="F23">_xlfn.IFS('Program Config'!$C$14="LMS4", "",'Program Config'!$C$14="LMS8 - GENINTEGRATION 31",_xlfn.CONCAT('Program Config'!C34), 'Program Config'!$C$14="LMS6 - GENINTEGRATION 31", "", TRUE,"")</f>
        <v/>
      </c>
      <c r="G23" s="145"/>
      <c r="M23"/>
    </row>
    <row r="24" spans="2:14" ht="35.1" customHeight="1" x14ac:dyDescent="0.55000000000000004">
      <c r="B24" s="11"/>
      <c r="D24" s="126"/>
      <c r="E24" s="126" t="str" cm="1">
        <f t="array" ref="E24">_xlfn.IFS('Program Config'!$C$14="LMS4", "",'Program Config'!$C$14="LMS8 - GENINTEGRATION 31", "Link to LMS8 Client DemoData727e:", 'Program Config'!$C$14="LMS6 - GENINTEGRATION 31", "", TRUE,"")</f>
        <v/>
      </c>
      <c r="F24" s="128" t="str" cm="1">
        <f t="array" ref="F24">_xlfn.IFS('Program Config'!$C$14="LMS4", "",'Program Config'!$C$14="LMS8 - GENINTEGRATION 31",(HYPERLINK("https://www.linkedin.com/in/jo-ann-balsamo","LMS8 GENINTEGRATION 1-3 Client DemoData727e")), 'Program Config'!$C$14="LMS6 - GENINTEGRATION 31", "", TRUE,"")</f>
        <v/>
      </c>
      <c r="G24" s="145" t="str" cm="1">
        <f t="array" ref="G24">_xlfn.IFS('Program Config'!$C$14="LMS4", "",'Program Config'!$C$14="LMS6 - GENINTEGRATION 31", "", 'Program Config'!$C$14="LMS8 - GENINTEGRATION 31", "Paste link to customized Client DemoData727e below:",'Program Config'!$C$14="LM7 - GENINTEGRATION 31", "",TRUE,"")</f>
        <v/>
      </c>
      <c r="M24"/>
    </row>
    <row r="25" spans="2:14" ht="35.1" customHeight="1" x14ac:dyDescent="0.55000000000000004">
      <c r="B25" s="11"/>
      <c r="D25" s="126"/>
      <c r="E25" s="126" t="str" cm="1">
        <f t="array" ref="E25">_xlfn.IFS('Program Config'!$C$14="LMS4", "",'Program Config'!$C$14="LMS8 - GENINTEGRATION 31", "Save PDF As",'Program Config'!$C$14="LMS6 - GENINTEGRATION 31", "", TRUE,"")</f>
        <v/>
      </c>
      <c r="F25" s="129" t="str" cm="1">
        <f t="array" ref="F25">_xlfn.IFS('Program Config'!$C$14="LMS4", "",'Program Config'!$C$14="LMS8 - GENINTEGRATION 31", _xlfn.CONCAT(""&amp;(SUBSTITUTE(UPPER(Concats!$A$8),"/",""))&amp;"_LMS8_GENINTEGRATION_1-3_Client_DemoData727e"), 'Program Config'!$C$14="LMS6 - GENINTEGRATION 31", "", TRUE,"")</f>
        <v/>
      </c>
      <c r="G25" s="146"/>
      <c r="M25"/>
    </row>
    <row r="26" spans="2:14" ht="35.1" customHeight="1" x14ac:dyDescent="0.55000000000000004">
      <c r="B26" s="11"/>
    </row>
    <row r="27" spans="2:14" ht="35.1" customHeight="1" x14ac:dyDescent="0.55000000000000004">
      <c r="B27" s="11"/>
    </row>
    <row r="28" spans="2:14" ht="35.1" customHeight="1" x14ac:dyDescent="0.55000000000000004">
      <c r="B28" s="11"/>
    </row>
    <row r="29" spans="2:14" ht="35.1" customHeight="1" x14ac:dyDescent="0.55000000000000004">
      <c r="B29" s="11"/>
    </row>
    <row r="30" spans="2:14" ht="35.1" customHeight="1" x14ac:dyDescent="0.55000000000000004"/>
    <row r="31" spans="2:14" ht="35.1" customHeight="1" x14ac:dyDescent="0.55000000000000004"/>
    <row r="32" spans="2:14" ht="35.1" customHeight="1" x14ac:dyDescent="0.55000000000000004"/>
    <row r="33" ht="35.1" customHeight="1" x14ac:dyDescent="0.55000000000000004"/>
    <row r="34" ht="35.1" customHeight="1" x14ac:dyDescent="0.55000000000000004"/>
    <row r="35" ht="35.1" customHeight="1" x14ac:dyDescent="0.55000000000000004"/>
    <row r="36" ht="35.1" customHeight="1" x14ac:dyDescent="0.55000000000000004"/>
    <row r="37" ht="35.1" customHeight="1" x14ac:dyDescent="0.55000000000000004"/>
    <row r="38" ht="35.1" customHeight="1" x14ac:dyDescent="0.55000000000000004"/>
    <row r="39" ht="35.1" customHeight="1" x14ac:dyDescent="0.55000000000000004"/>
    <row r="40" ht="35.1" customHeight="1" x14ac:dyDescent="0.55000000000000004"/>
    <row r="41" ht="35.1" customHeight="1" x14ac:dyDescent="0.55000000000000004"/>
    <row r="42" ht="35.1" customHeight="1" x14ac:dyDescent="0.55000000000000004"/>
    <row r="43" ht="35.1" customHeight="1" x14ac:dyDescent="0.55000000000000004"/>
    <row r="44" ht="35.1" customHeight="1" x14ac:dyDescent="0.55000000000000004"/>
    <row r="45" ht="35.1" customHeight="1" x14ac:dyDescent="0.55000000000000004"/>
    <row r="46" ht="35.1" customHeight="1" x14ac:dyDescent="0.55000000000000004"/>
    <row r="47" ht="35.1" customHeight="1" x14ac:dyDescent="0.55000000000000004"/>
    <row r="48" ht="35.1" customHeight="1" x14ac:dyDescent="0.55000000000000004"/>
    <row r="49" ht="35.1" customHeight="1" x14ac:dyDescent="0.55000000000000004"/>
    <row r="50" ht="35.1" customHeight="1" x14ac:dyDescent="0.55000000000000004"/>
    <row r="51" ht="35.1" customHeight="1" x14ac:dyDescent="0.55000000000000004"/>
    <row r="52" ht="35.1" customHeight="1" x14ac:dyDescent="0.55000000000000004"/>
    <row r="53" ht="35.1" customHeight="1" x14ac:dyDescent="0.55000000000000004"/>
    <row r="54" ht="35.1" customHeight="1" x14ac:dyDescent="0.55000000000000004"/>
    <row r="55" ht="35.1" customHeight="1" x14ac:dyDescent="0.55000000000000004"/>
    <row r="56" ht="35.1" customHeight="1" x14ac:dyDescent="0.55000000000000004"/>
    <row r="57" ht="35.1" customHeight="1" x14ac:dyDescent="0.55000000000000004"/>
    <row r="58" ht="35.1" customHeight="1" x14ac:dyDescent="0.55000000000000004"/>
    <row r="59" ht="35.1" customHeight="1" x14ac:dyDescent="0.55000000000000004"/>
    <row r="60" ht="35.1" customHeight="1" x14ac:dyDescent="0.55000000000000004"/>
    <row r="61" ht="35.1" customHeight="1" x14ac:dyDescent="0.55000000000000004"/>
    <row r="62" ht="35.1" customHeight="1" x14ac:dyDescent="0.55000000000000004"/>
    <row r="63" ht="35.1" customHeight="1" x14ac:dyDescent="0.55000000000000004"/>
    <row r="64" ht="35.1" customHeight="1" x14ac:dyDescent="0.55000000000000004"/>
    <row r="65" ht="35.1" customHeight="1" x14ac:dyDescent="0.55000000000000004"/>
    <row r="66" ht="35.1" customHeight="1" x14ac:dyDescent="0.55000000000000004"/>
    <row r="67" ht="35.1" customHeight="1" x14ac:dyDescent="0.55000000000000004"/>
    <row r="68" ht="35.1" customHeight="1" x14ac:dyDescent="0.55000000000000004"/>
    <row r="69" ht="35.1" customHeight="1" x14ac:dyDescent="0.55000000000000004"/>
    <row r="70" ht="35.1" customHeight="1" x14ac:dyDescent="0.55000000000000004"/>
    <row r="71" ht="35.1" customHeight="1" x14ac:dyDescent="0.55000000000000004"/>
    <row r="72" ht="35.1" customHeight="1" x14ac:dyDescent="0.55000000000000004"/>
    <row r="73" ht="35.1" customHeight="1" x14ac:dyDescent="0.55000000000000004"/>
    <row r="74" ht="35.1" customHeight="1" x14ac:dyDescent="0.55000000000000004"/>
    <row r="75" ht="35.1" customHeight="1" x14ac:dyDescent="0.55000000000000004"/>
    <row r="76" ht="35.1" customHeight="1" x14ac:dyDescent="0.55000000000000004"/>
    <row r="77" ht="35.1" customHeight="1" x14ac:dyDescent="0.55000000000000004"/>
    <row r="78" ht="35.1" customHeight="1" x14ac:dyDescent="0.55000000000000004"/>
    <row r="79" ht="35.1" customHeight="1" x14ac:dyDescent="0.55000000000000004"/>
    <row r="80" ht="35.1" customHeight="1" x14ac:dyDescent="0.55000000000000004"/>
    <row r="81" ht="35.1" customHeight="1" x14ac:dyDescent="0.55000000000000004"/>
    <row r="82" ht="35.1" customHeight="1" x14ac:dyDescent="0.55000000000000004"/>
    <row r="83" ht="35.1" customHeight="1" x14ac:dyDescent="0.55000000000000004"/>
    <row r="84" ht="35.1" customHeight="1" x14ac:dyDescent="0.55000000000000004"/>
    <row r="85" ht="35.1" customHeight="1" x14ac:dyDescent="0.55000000000000004"/>
    <row r="86" ht="35.1" customHeight="1" x14ac:dyDescent="0.55000000000000004"/>
    <row r="87" ht="35.1" customHeight="1" x14ac:dyDescent="0.55000000000000004"/>
    <row r="88" ht="35.1" customHeight="1" x14ac:dyDescent="0.55000000000000004"/>
    <row r="89" ht="35.1" customHeight="1" x14ac:dyDescent="0.55000000000000004"/>
    <row r="90" ht="35.1" customHeight="1" x14ac:dyDescent="0.55000000000000004"/>
    <row r="91" ht="35.1" customHeight="1" x14ac:dyDescent="0.55000000000000004"/>
    <row r="92" ht="35.1" customHeight="1" x14ac:dyDescent="0.55000000000000004"/>
    <row r="93" ht="35.1" customHeight="1" x14ac:dyDescent="0.55000000000000004"/>
    <row r="94" ht="35.1" customHeight="1" x14ac:dyDescent="0.55000000000000004"/>
    <row r="95" ht="35.1" customHeight="1" x14ac:dyDescent="0.55000000000000004"/>
    <row r="96" ht="35.1" customHeight="1" x14ac:dyDescent="0.55000000000000004"/>
    <row r="97" ht="35.1" customHeight="1" x14ac:dyDescent="0.55000000000000004"/>
    <row r="98" ht="35.1" customHeight="1" x14ac:dyDescent="0.55000000000000004"/>
    <row r="99" ht="35.1" customHeight="1" x14ac:dyDescent="0.55000000000000004"/>
    <row r="100" ht="35.1" customHeight="1" x14ac:dyDescent="0.55000000000000004"/>
    <row r="101" ht="35.1" customHeight="1" x14ac:dyDescent="0.55000000000000004"/>
    <row r="102" ht="35.1" customHeight="1" x14ac:dyDescent="0.55000000000000004"/>
    <row r="103" ht="35.1" customHeight="1" x14ac:dyDescent="0.55000000000000004"/>
    <row r="104" ht="35.1" customHeight="1" x14ac:dyDescent="0.55000000000000004"/>
    <row r="105" ht="35.1" customHeight="1" x14ac:dyDescent="0.55000000000000004"/>
    <row r="106" ht="35.1" customHeight="1" x14ac:dyDescent="0.55000000000000004"/>
    <row r="107" ht="35.1" customHeight="1" x14ac:dyDescent="0.55000000000000004"/>
    <row r="108" ht="35.1" customHeight="1" x14ac:dyDescent="0.55000000000000004"/>
    <row r="109" ht="35.1" customHeight="1" x14ac:dyDescent="0.55000000000000004"/>
    <row r="110" ht="35.1" customHeight="1" x14ac:dyDescent="0.55000000000000004"/>
    <row r="111" ht="35.1" customHeight="1" x14ac:dyDescent="0.55000000000000004"/>
    <row r="112" ht="35.1" customHeight="1" x14ac:dyDescent="0.55000000000000004"/>
    <row r="113" ht="35.1" customHeight="1" x14ac:dyDescent="0.55000000000000004"/>
    <row r="114" ht="35.1" customHeight="1" x14ac:dyDescent="0.55000000000000004"/>
    <row r="115" ht="35.1" customHeight="1" x14ac:dyDescent="0.55000000000000004"/>
    <row r="116" ht="35.1" customHeight="1" x14ac:dyDescent="0.55000000000000004"/>
    <row r="117" ht="35.1" customHeight="1" x14ac:dyDescent="0.55000000000000004"/>
    <row r="118" ht="35.1" customHeight="1" x14ac:dyDescent="0.55000000000000004"/>
    <row r="119" ht="35.1" customHeight="1" x14ac:dyDescent="0.55000000000000004"/>
    <row r="120" ht="35.1" customHeight="1" x14ac:dyDescent="0.55000000000000004"/>
    <row r="121" ht="35.1" customHeight="1" x14ac:dyDescent="0.55000000000000004"/>
    <row r="122" ht="35.1" customHeight="1" x14ac:dyDescent="0.55000000000000004"/>
    <row r="123" ht="35.1" customHeight="1" x14ac:dyDescent="0.55000000000000004"/>
    <row r="124" ht="35.1" customHeight="1" x14ac:dyDescent="0.55000000000000004"/>
    <row r="125" ht="35.1" customHeight="1" x14ac:dyDescent="0.55000000000000004"/>
    <row r="126" ht="35.1" customHeight="1" x14ac:dyDescent="0.55000000000000004"/>
    <row r="127" ht="35.1" customHeight="1" x14ac:dyDescent="0.55000000000000004"/>
    <row r="128" ht="35.1" customHeight="1" x14ac:dyDescent="0.55000000000000004"/>
    <row r="129" ht="35.1" customHeight="1" x14ac:dyDescent="0.55000000000000004"/>
    <row r="130" ht="35.1" customHeight="1" x14ac:dyDescent="0.55000000000000004"/>
    <row r="131" ht="35.1" customHeight="1" x14ac:dyDescent="0.55000000000000004"/>
    <row r="132" ht="35.1" customHeight="1" x14ac:dyDescent="0.55000000000000004"/>
    <row r="133" ht="35.1" customHeight="1" x14ac:dyDescent="0.55000000000000004"/>
    <row r="134" ht="35.1" customHeight="1" x14ac:dyDescent="0.55000000000000004"/>
    <row r="135" ht="35.1" customHeight="1" x14ac:dyDescent="0.55000000000000004"/>
    <row r="136" ht="35.1" customHeight="1" x14ac:dyDescent="0.55000000000000004"/>
    <row r="137" ht="35.1" customHeight="1" x14ac:dyDescent="0.55000000000000004"/>
    <row r="138" ht="35.1" customHeight="1" x14ac:dyDescent="0.55000000000000004"/>
    <row r="139" ht="35.1" customHeight="1" x14ac:dyDescent="0.55000000000000004"/>
    <row r="140" ht="35.1" customHeight="1" x14ac:dyDescent="0.55000000000000004"/>
    <row r="141" ht="35.1" customHeight="1" x14ac:dyDescent="0.55000000000000004"/>
    <row r="142" ht="35.1" customHeight="1" x14ac:dyDescent="0.55000000000000004"/>
    <row r="143" ht="35.1" customHeight="1" x14ac:dyDescent="0.55000000000000004"/>
    <row r="144" ht="35.1" customHeight="1" x14ac:dyDescent="0.55000000000000004"/>
    <row r="145" ht="35.1" customHeight="1" x14ac:dyDescent="0.55000000000000004"/>
    <row r="146" ht="35.1" customHeight="1" x14ac:dyDescent="0.55000000000000004"/>
    <row r="147" ht="35.1" customHeight="1" x14ac:dyDescent="0.55000000000000004"/>
    <row r="148" ht="35.1" customHeight="1" x14ac:dyDescent="0.55000000000000004"/>
    <row r="149" ht="35.1" customHeight="1" x14ac:dyDescent="0.55000000000000004"/>
    <row r="150" ht="35.1" customHeight="1" x14ac:dyDescent="0.55000000000000004"/>
    <row r="151" ht="35.1" customHeight="1" x14ac:dyDescent="0.55000000000000004"/>
    <row r="152" ht="35.1" customHeight="1" x14ac:dyDescent="0.55000000000000004"/>
    <row r="153" ht="35.1" customHeight="1" x14ac:dyDescent="0.55000000000000004"/>
    <row r="154" ht="35.1" customHeight="1" x14ac:dyDescent="0.55000000000000004"/>
    <row r="155" ht="35.1" customHeight="1" x14ac:dyDescent="0.55000000000000004"/>
    <row r="156" ht="35.1" customHeight="1" x14ac:dyDescent="0.55000000000000004"/>
    <row r="157" ht="35.1" customHeight="1" x14ac:dyDescent="0.55000000000000004"/>
    <row r="158" ht="35.1" customHeight="1" x14ac:dyDescent="0.55000000000000004"/>
    <row r="159" ht="35.1" customHeight="1" x14ac:dyDescent="0.55000000000000004"/>
    <row r="160" ht="35.1" customHeight="1" x14ac:dyDescent="0.55000000000000004"/>
    <row r="161" ht="35.1" customHeight="1" x14ac:dyDescent="0.55000000000000004"/>
    <row r="162" ht="35.1" customHeight="1" x14ac:dyDescent="0.55000000000000004"/>
    <row r="163" ht="35.1" customHeight="1" x14ac:dyDescent="0.55000000000000004"/>
    <row r="164" ht="35.1" customHeight="1" x14ac:dyDescent="0.55000000000000004"/>
    <row r="165" ht="35.1" customHeight="1" x14ac:dyDescent="0.55000000000000004"/>
    <row r="166" ht="35.1" customHeight="1" x14ac:dyDescent="0.55000000000000004"/>
    <row r="167" ht="35.1" customHeight="1" x14ac:dyDescent="0.55000000000000004"/>
    <row r="168" ht="35.1" customHeight="1" x14ac:dyDescent="0.55000000000000004"/>
    <row r="169" ht="35.1" customHeight="1" x14ac:dyDescent="0.55000000000000004"/>
    <row r="170" ht="35.1" customHeight="1" x14ac:dyDescent="0.55000000000000004"/>
    <row r="171" ht="35.1" customHeight="1" x14ac:dyDescent="0.55000000000000004"/>
    <row r="172" ht="35.1" customHeight="1" x14ac:dyDescent="0.55000000000000004"/>
    <row r="173" ht="35.1" customHeight="1" x14ac:dyDescent="0.55000000000000004"/>
    <row r="174" ht="35.1" customHeight="1" x14ac:dyDescent="0.55000000000000004"/>
    <row r="175" ht="35.1" customHeight="1" x14ac:dyDescent="0.55000000000000004"/>
    <row r="176" ht="35.1" customHeight="1" x14ac:dyDescent="0.55000000000000004"/>
    <row r="177" ht="35.1" customHeight="1" x14ac:dyDescent="0.55000000000000004"/>
    <row r="178" ht="35.1" customHeight="1" x14ac:dyDescent="0.55000000000000004"/>
    <row r="179" ht="35.1" customHeight="1" x14ac:dyDescent="0.55000000000000004"/>
    <row r="180" ht="35.1" customHeight="1" x14ac:dyDescent="0.55000000000000004"/>
    <row r="181" ht="35.1" customHeight="1" x14ac:dyDescent="0.55000000000000004"/>
    <row r="182" ht="35.1" customHeight="1" x14ac:dyDescent="0.55000000000000004"/>
    <row r="183" ht="35.1" customHeight="1" x14ac:dyDescent="0.55000000000000004"/>
    <row r="184" ht="35.1" customHeight="1" x14ac:dyDescent="0.55000000000000004"/>
    <row r="185" ht="35.1" customHeight="1" x14ac:dyDescent="0.55000000000000004"/>
    <row r="186" ht="35.1" customHeight="1" x14ac:dyDescent="0.55000000000000004"/>
    <row r="187" ht="35.1" customHeight="1" x14ac:dyDescent="0.55000000000000004"/>
    <row r="188" ht="35.1" customHeight="1" x14ac:dyDescent="0.55000000000000004"/>
    <row r="189" ht="35.1" customHeight="1" x14ac:dyDescent="0.55000000000000004"/>
    <row r="190" ht="40" customHeight="1" x14ac:dyDescent="0.55000000000000004"/>
    <row r="191" ht="40" customHeight="1" x14ac:dyDescent="0.55000000000000004"/>
    <row r="192" ht="40" customHeight="1" x14ac:dyDescent="0.55000000000000004"/>
    <row r="193" ht="40" customHeight="1" x14ac:dyDescent="0.55000000000000004"/>
    <row r="194" ht="40" customHeight="1" x14ac:dyDescent="0.55000000000000004"/>
    <row r="195" ht="40" customHeight="1" x14ac:dyDescent="0.55000000000000004"/>
    <row r="196" ht="40" customHeight="1" x14ac:dyDescent="0.55000000000000004"/>
    <row r="197" ht="40" customHeight="1" x14ac:dyDescent="0.55000000000000004"/>
    <row r="198" ht="40" customHeight="1" x14ac:dyDescent="0.55000000000000004"/>
    <row r="199" ht="40" customHeight="1" x14ac:dyDescent="0.55000000000000004"/>
    <row r="200" ht="40" customHeight="1" x14ac:dyDescent="0.55000000000000004"/>
    <row r="201" ht="40" customHeight="1" x14ac:dyDescent="0.55000000000000004"/>
    <row r="202" ht="40" customHeight="1" x14ac:dyDescent="0.55000000000000004"/>
    <row r="203" ht="40" customHeight="1" x14ac:dyDescent="0.55000000000000004"/>
    <row r="204" ht="40" customHeight="1" x14ac:dyDescent="0.55000000000000004"/>
    <row r="205" ht="40" customHeight="1" x14ac:dyDescent="0.55000000000000004"/>
    <row r="206" ht="40" customHeight="1" x14ac:dyDescent="0.55000000000000004"/>
    <row r="207" ht="40" customHeight="1" x14ac:dyDescent="0.55000000000000004"/>
    <row r="208" ht="40" customHeight="1" x14ac:dyDescent="0.55000000000000004"/>
    <row r="209" ht="40" customHeight="1" x14ac:dyDescent="0.55000000000000004"/>
    <row r="210" ht="40" customHeight="1" x14ac:dyDescent="0.55000000000000004"/>
    <row r="211" ht="40" customHeight="1" x14ac:dyDescent="0.55000000000000004"/>
    <row r="212" ht="40" customHeight="1" x14ac:dyDescent="0.55000000000000004"/>
    <row r="213" ht="40" customHeight="1" x14ac:dyDescent="0.55000000000000004"/>
    <row r="214" ht="40" customHeight="1" x14ac:dyDescent="0.55000000000000004"/>
    <row r="215" ht="40" customHeight="1" x14ac:dyDescent="0.55000000000000004"/>
    <row r="216" ht="40" customHeight="1" x14ac:dyDescent="0.55000000000000004"/>
    <row r="217" ht="40" customHeight="1" x14ac:dyDescent="0.55000000000000004"/>
    <row r="218" ht="40" customHeight="1" x14ac:dyDescent="0.55000000000000004"/>
    <row r="219" ht="40" customHeight="1" x14ac:dyDescent="0.55000000000000004"/>
    <row r="220" ht="40" customHeight="1" x14ac:dyDescent="0.55000000000000004"/>
    <row r="221" ht="40" customHeight="1" x14ac:dyDescent="0.55000000000000004"/>
    <row r="222" ht="40" customHeight="1" x14ac:dyDescent="0.55000000000000004"/>
    <row r="223" ht="40" customHeight="1" x14ac:dyDescent="0.55000000000000004"/>
    <row r="224" ht="40" customHeight="1" x14ac:dyDescent="0.55000000000000004"/>
    <row r="225" ht="40" customHeight="1" x14ac:dyDescent="0.55000000000000004"/>
    <row r="226" ht="40" customHeight="1" x14ac:dyDescent="0.55000000000000004"/>
    <row r="227" ht="40" customHeight="1" x14ac:dyDescent="0.55000000000000004"/>
    <row r="228" ht="40" customHeight="1" x14ac:dyDescent="0.55000000000000004"/>
    <row r="229" ht="40" customHeight="1" x14ac:dyDescent="0.55000000000000004"/>
    <row r="230" ht="40" customHeight="1" x14ac:dyDescent="0.55000000000000004"/>
    <row r="231" ht="40" customHeight="1" x14ac:dyDescent="0.55000000000000004"/>
    <row r="232" ht="40" customHeight="1" x14ac:dyDescent="0.55000000000000004"/>
    <row r="233" ht="40" customHeight="1" x14ac:dyDescent="0.55000000000000004"/>
    <row r="234" ht="40" customHeight="1" x14ac:dyDescent="0.55000000000000004"/>
    <row r="235" ht="40" customHeight="1" x14ac:dyDescent="0.55000000000000004"/>
    <row r="236" ht="40" customHeight="1" x14ac:dyDescent="0.55000000000000004"/>
    <row r="237" ht="40" customHeight="1" x14ac:dyDescent="0.55000000000000004"/>
    <row r="238" ht="40" customHeight="1" x14ac:dyDescent="0.55000000000000004"/>
    <row r="239" ht="40" customHeight="1" x14ac:dyDescent="0.55000000000000004"/>
    <row r="240" ht="40" customHeight="1" x14ac:dyDescent="0.55000000000000004"/>
    <row r="241" ht="40" customHeight="1" x14ac:dyDescent="0.55000000000000004"/>
    <row r="242" ht="40" customHeight="1" x14ac:dyDescent="0.55000000000000004"/>
    <row r="243" ht="40" customHeight="1" x14ac:dyDescent="0.55000000000000004"/>
    <row r="244" ht="40" customHeight="1" x14ac:dyDescent="0.55000000000000004"/>
    <row r="245" ht="40" customHeight="1" x14ac:dyDescent="0.55000000000000004"/>
    <row r="246" ht="40" customHeight="1" x14ac:dyDescent="0.55000000000000004"/>
    <row r="247" ht="40" customHeight="1" x14ac:dyDescent="0.55000000000000004"/>
    <row r="248" ht="40" customHeight="1" x14ac:dyDescent="0.55000000000000004"/>
    <row r="249" ht="40" customHeight="1" x14ac:dyDescent="0.55000000000000004"/>
    <row r="250" ht="40" customHeight="1" x14ac:dyDescent="0.55000000000000004"/>
    <row r="251" ht="40" customHeight="1" x14ac:dyDescent="0.55000000000000004"/>
    <row r="252" ht="40" customHeight="1" x14ac:dyDescent="0.55000000000000004"/>
    <row r="253" ht="40" customHeight="1" x14ac:dyDescent="0.55000000000000004"/>
    <row r="254" ht="40" customHeight="1" x14ac:dyDescent="0.55000000000000004"/>
    <row r="255" ht="40" customHeight="1" x14ac:dyDescent="0.55000000000000004"/>
    <row r="256" ht="40" customHeight="1" x14ac:dyDescent="0.55000000000000004"/>
    <row r="257" ht="40" customHeight="1" x14ac:dyDescent="0.55000000000000004"/>
    <row r="258" ht="40" customHeight="1" x14ac:dyDescent="0.55000000000000004"/>
    <row r="259" ht="40" customHeight="1" x14ac:dyDescent="0.55000000000000004"/>
    <row r="260" ht="40" customHeight="1" x14ac:dyDescent="0.55000000000000004"/>
    <row r="261" ht="40" customHeight="1" x14ac:dyDescent="0.55000000000000004"/>
    <row r="262" ht="40" customHeight="1" x14ac:dyDescent="0.55000000000000004"/>
    <row r="263" ht="40" customHeight="1" x14ac:dyDescent="0.55000000000000004"/>
    <row r="264" ht="40" customHeight="1" x14ac:dyDescent="0.55000000000000004"/>
    <row r="265" ht="40" customHeight="1" x14ac:dyDescent="0.55000000000000004"/>
    <row r="266" ht="40" customHeight="1" x14ac:dyDescent="0.55000000000000004"/>
    <row r="267" ht="40" customHeight="1" x14ac:dyDescent="0.55000000000000004"/>
    <row r="268" ht="40" customHeight="1" x14ac:dyDescent="0.55000000000000004"/>
    <row r="269" ht="40" customHeight="1" x14ac:dyDescent="0.55000000000000004"/>
    <row r="270" ht="40" customHeight="1" x14ac:dyDescent="0.55000000000000004"/>
    <row r="271" ht="40" customHeight="1" x14ac:dyDescent="0.55000000000000004"/>
    <row r="272" ht="40" customHeight="1" x14ac:dyDescent="0.55000000000000004"/>
    <row r="273" ht="40" customHeight="1" x14ac:dyDescent="0.55000000000000004"/>
    <row r="274" ht="40" customHeight="1" x14ac:dyDescent="0.55000000000000004"/>
    <row r="275" ht="40" customHeight="1" x14ac:dyDescent="0.55000000000000004"/>
    <row r="276" ht="40" customHeight="1" x14ac:dyDescent="0.55000000000000004"/>
    <row r="277" ht="40" customHeight="1" x14ac:dyDescent="0.55000000000000004"/>
    <row r="278" ht="40" customHeight="1" x14ac:dyDescent="0.55000000000000004"/>
    <row r="279" ht="40" customHeight="1" x14ac:dyDescent="0.55000000000000004"/>
    <row r="280" ht="40" customHeight="1" x14ac:dyDescent="0.55000000000000004"/>
    <row r="281" ht="40" customHeight="1" x14ac:dyDescent="0.55000000000000004"/>
    <row r="282" ht="40" customHeight="1" x14ac:dyDescent="0.55000000000000004"/>
    <row r="283" ht="40" customHeight="1" x14ac:dyDescent="0.55000000000000004"/>
    <row r="284" ht="40" customHeight="1" x14ac:dyDescent="0.55000000000000004"/>
    <row r="285" ht="40" customHeight="1" x14ac:dyDescent="0.55000000000000004"/>
    <row r="286" ht="40" customHeight="1" x14ac:dyDescent="0.55000000000000004"/>
    <row r="287" ht="40" customHeight="1" x14ac:dyDescent="0.55000000000000004"/>
    <row r="288" ht="40" customHeight="1" x14ac:dyDescent="0.55000000000000004"/>
    <row r="289" ht="40" customHeight="1" x14ac:dyDescent="0.55000000000000004"/>
    <row r="290" ht="40" customHeight="1" x14ac:dyDescent="0.55000000000000004"/>
    <row r="291" ht="40" customHeight="1" x14ac:dyDescent="0.55000000000000004"/>
    <row r="292" ht="40" customHeight="1" x14ac:dyDescent="0.55000000000000004"/>
    <row r="293" ht="40" customHeight="1" x14ac:dyDescent="0.55000000000000004"/>
    <row r="294" ht="40" customHeight="1" x14ac:dyDescent="0.55000000000000004"/>
    <row r="295" ht="40" customHeight="1" x14ac:dyDescent="0.55000000000000004"/>
    <row r="296" ht="40" customHeight="1" x14ac:dyDescent="0.55000000000000004"/>
    <row r="297" ht="40" customHeight="1" x14ac:dyDescent="0.55000000000000004"/>
    <row r="298" ht="40" customHeight="1" x14ac:dyDescent="0.55000000000000004"/>
    <row r="299" ht="40" customHeight="1" x14ac:dyDescent="0.55000000000000004"/>
    <row r="300" ht="40" customHeight="1" x14ac:dyDescent="0.55000000000000004"/>
    <row r="301" ht="40" customHeight="1" x14ac:dyDescent="0.55000000000000004"/>
    <row r="302" ht="40" customHeight="1" x14ac:dyDescent="0.55000000000000004"/>
    <row r="303" ht="40" customHeight="1" x14ac:dyDescent="0.55000000000000004"/>
    <row r="304" ht="40" customHeight="1" x14ac:dyDescent="0.55000000000000004"/>
    <row r="305" ht="40" customHeight="1" x14ac:dyDescent="0.55000000000000004"/>
    <row r="306" ht="40" customHeight="1" x14ac:dyDescent="0.55000000000000004"/>
    <row r="307" ht="40" customHeight="1" x14ac:dyDescent="0.55000000000000004"/>
    <row r="308" ht="40" customHeight="1" x14ac:dyDescent="0.55000000000000004"/>
    <row r="309" ht="40" customHeight="1" x14ac:dyDescent="0.55000000000000004"/>
    <row r="310" ht="40" customHeight="1" x14ac:dyDescent="0.55000000000000004"/>
    <row r="311" ht="40" customHeight="1" x14ac:dyDescent="0.55000000000000004"/>
    <row r="312" ht="40" customHeight="1" x14ac:dyDescent="0.55000000000000004"/>
    <row r="313" ht="40" customHeight="1" x14ac:dyDescent="0.55000000000000004"/>
    <row r="314" ht="40" customHeight="1" x14ac:dyDescent="0.55000000000000004"/>
    <row r="315" ht="40" customHeight="1" x14ac:dyDescent="0.55000000000000004"/>
    <row r="316" ht="40" customHeight="1" x14ac:dyDescent="0.55000000000000004"/>
    <row r="317" ht="40" customHeight="1" x14ac:dyDescent="0.55000000000000004"/>
    <row r="318" ht="40" customHeight="1" x14ac:dyDescent="0.55000000000000004"/>
    <row r="319" ht="40" customHeight="1" x14ac:dyDescent="0.55000000000000004"/>
    <row r="320" ht="40" customHeight="1" x14ac:dyDescent="0.55000000000000004"/>
  </sheetData>
  <sheetProtection algorithmName="SHA-512" hashValue="wQub3nwnULIfCHKVDtyPRlTG7yDjOWWW7Z3gPKiXFqPpFaPPvdbg7dvznOKitov/7V02oDJseLdfDjzP3h1N4A==" saltValue="O+OS+t+deAol5Sqj+7MYeg==" spinCount="100000" sheet="1" formatCells="0" insertHyperlinks="0"/>
  <mergeCells count="24">
    <mergeCell ref="E6:F6"/>
    <mergeCell ref="H13:L18"/>
    <mergeCell ref="H6:H10"/>
    <mergeCell ref="L6:L10"/>
    <mergeCell ref="H1:L2"/>
    <mergeCell ref="H3:L3"/>
    <mergeCell ref="H4:L5"/>
    <mergeCell ref="I11:K11"/>
    <mergeCell ref="I12:K12"/>
    <mergeCell ref="M1:N1"/>
    <mergeCell ref="M2:N2"/>
    <mergeCell ref="M3:N3"/>
    <mergeCell ref="M4:N5"/>
    <mergeCell ref="M6:N6"/>
    <mergeCell ref="C1:C2"/>
    <mergeCell ref="B3:B5"/>
    <mergeCell ref="D1:D2"/>
    <mergeCell ref="G1:G2"/>
    <mergeCell ref="D4:D5"/>
    <mergeCell ref="G4:G5"/>
    <mergeCell ref="E1:F1"/>
    <mergeCell ref="E2:F2"/>
    <mergeCell ref="E3:F3"/>
    <mergeCell ref="E4:F5"/>
  </mergeCells>
  <conditionalFormatting sqref="A6">
    <cfRule type="notContainsBlanks" dxfId="81" priority="210">
      <formula>LEN(TRIM(A6))&gt;0</formula>
    </cfRule>
  </conditionalFormatting>
  <conditionalFormatting sqref="B6">
    <cfRule type="expression" dxfId="80" priority="155">
      <formula>$B$6&lt;&gt;""</formula>
    </cfRule>
    <cfRule type="expression" dxfId="79" priority="156">
      <formula>$A$6&lt;&gt;""</formula>
    </cfRule>
  </conditionalFormatting>
  <conditionalFormatting sqref="E7:E9">
    <cfRule type="notContainsBlanks" dxfId="78" priority="209">
      <formula>LEN(TRIM(E7))&gt;0</formula>
    </cfRule>
  </conditionalFormatting>
  <conditionalFormatting sqref="G8">
    <cfRule type="notContainsBlanks" dxfId="52" priority="152">
      <formula>LEN(TRIM(G8))&gt;0</formula>
    </cfRule>
  </conditionalFormatting>
  <conditionalFormatting sqref="G9">
    <cfRule type="expression" dxfId="50" priority="153">
      <formula>$G$9&lt;&gt;""</formula>
    </cfRule>
  </conditionalFormatting>
  <conditionalFormatting sqref="G14">
    <cfRule type="expression" dxfId="49" priority="139">
      <formula>$G$14&lt;&gt;""</formula>
    </cfRule>
    <cfRule type="expression" dxfId="48" priority="126">
      <formula>$G$13&lt;&gt;""</formula>
    </cfRule>
  </conditionalFormatting>
  <conditionalFormatting sqref="G15:G16">
    <cfRule type="notContainsBlanks" dxfId="47" priority="135">
      <formula>LEN(TRIM(G15))&gt;0</formula>
    </cfRule>
  </conditionalFormatting>
  <conditionalFormatting sqref="G18">
    <cfRule type="notContainsBlanks" dxfId="46" priority="132">
      <formula>LEN(TRIM(G18))&gt;0</formula>
    </cfRule>
  </conditionalFormatting>
  <conditionalFormatting sqref="G19">
    <cfRule type="expression" dxfId="45" priority="134">
      <formula>$G$18&lt;&gt;""</formula>
    </cfRule>
    <cfRule type="expression" dxfId="44" priority="133">
      <formula>$G$19&lt;&gt;""</formula>
    </cfRule>
  </conditionalFormatting>
  <conditionalFormatting sqref="G22:G24">
    <cfRule type="notContainsBlanks" dxfId="43" priority="142">
      <formula>LEN(TRIM(G22))&gt;0</formula>
    </cfRule>
  </conditionalFormatting>
  <conditionalFormatting sqref="G24:G25">
    <cfRule type="expression" dxfId="41" priority="144">
      <formula>$G$24&lt;&gt;""</formula>
    </cfRule>
  </conditionalFormatting>
  <conditionalFormatting sqref="M12:M15">
    <cfRule type="notContainsBlanks" dxfId="36" priority="55">
      <formula>LEN(TRIM(M12))&gt;0</formula>
    </cfRule>
  </conditionalFormatting>
  <conditionalFormatting sqref="M17:M19">
    <cfRule type="notContainsBlanks" dxfId="35" priority="21">
      <formula>LEN(TRIM(M17))&gt;0</formula>
    </cfRule>
  </conditionalFormatting>
  <conditionalFormatting sqref="N19">
    <cfRule type="expression" dxfId="12" priority="6">
      <formula>$N$19&lt;&gt;""</formula>
    </cfRule>
  </conditionalFormatting>
  <hyperlinks>
    <hyperlink ref="B1" r:id="rId1" display="Formatted XML " xr:uid="{DACF4173-AA76-4B31-99A6-9C9EEB5C145F}"/>
    <hyperlink ref="D1:D2" r:id="rId2" display="CSM Email" xr:uid="{794E4FE4-D892-4AB8-99B4-CC6DF9C645CF}"/>
    <hyperlink ref="G1:G2" r:id="rId3" display="Program Preferences Email" xr:uid="{0E32BAC8-97FB-43B8-93A5-C754A0BFDCB0}"/>
    <hyperlink ref="B2" r:id="rId4" display="C:\Windows\notepad.exe" xr:uid="{A09B06F5-D0B3-4373-8652-91BE49EF0941}"/>
    <hyperlink ref="H1:L2" r:id="rId5" display="Whitelist Request" xr:uid="{73C24466-8FC1-4C71-B855-689048BBC6F8}"/>
  </hyperlinks>
  <pageMargins left="0.7" right="0.7" top="0.75" bottom="0.75" header="0.3" footer="0.3"/>
  <pageSetup orientation="portrait" r:id="rId6"/>
  <extLst>
    <ext xmlns:x14="http://schemas.microsoft.com/office/spreadsheetml/2009/9/main" uri="{78C0D931-6437-407d-A8EE-F0AAD7539E65}">
      <x14:conditionalFormattings>
        <x14:conditionalFormatting xmlns:xm="http://schemas.microsoft.com/office/excel/2006/main">
          <x14:cfRule type="expression" priority="190" id="{5AF9C63A-A94D-4E3D-B816-FF02EDFE814E}">
            <xm:f>'Program Config'!$C$14="Google Classroom"</xm:f>
            <x14:dxf>
              <font>
                <b val="0"/>
                <i val="0"/>
                <color auto="1"/>
              </font>
              <fill>
                <patternFill patternType="none">
                  <bgColor auto="1"/>
                </patternFill>
              </fill>
              <border>
                <left style="thin">
                  <color auto="1"/>
                </left>
                <right style="thin">
                  <color auto="1"/>
                </right>
                <top style="thin">
                  <color auto="1"/>
                </top>
                <bottom style="thin">
                  <color auto="1"/>
                </bottom>
              </border>
            </x14:dxf>
          </x14:cfRule>
          <xm:sqref>E7:E9</xm:sqref>
        </x14:conditionalFormatting>
        <x14:conditionalFormatting xmlns:xm="http://schemas.microsoft.com/office/excel/2006/main">
          <x14:cfRule type="expression" priority="172" id="{36540961-F0D9-4722-93DE-649565A78B7C}">
            <xm:f>'Program Config'!$C$14="Google Classroom"</xm:f>
            <x14:dxf>
              <font>
                <b/>
                <i val="0"/>
                <color theme="0"/>
              </font>
              <fill>
                <patternFill>
                  <bgColor theme="8" tint="-0.499984740745262"/>
                </patternFill>
              </fill>
              <border>
                <left style="thin">
                  <color auto="1"/>
                </left>
                <right style="thin">
                  <color auto="1"/>
                </right>
                <top style="thin">
                  <color auto="1"/>
                </top>
                <bottom style="thin">
                  <color auto="1"/>
                </bottom>
              </border>
            </x14:dxf>
          </x14:cfRule>
          <xm:sqref>E7:E16 G13</xm:sqref>
        </x14:conditionalFormatting>
        <x14:conditionalFormatting xmlns:xm="http://schemas.microsoft.com/office/excel/2006/main">
          <x14:cfRule type="expression" priority="189" id="{79EEC905-1624-43A9-BB5D-A89F7E479D15}">
            <xm:f>'Program Config'!$C$14="Moodle - LTI 1.3"</xm:f>
            <x14:dxf>
              <font>
                <b/>
                <i val="0"/>
                <color theme="0"/>
              </font>
              <fill>
                <patternFill>
                  <bgColor theme="8" tint="-0.499984740745262"/>
                </patternFill>
              </fill>
              <border>
                <left style="thin">
                  <color auto="1"/>
                </left>
                <right style="thin">
                  <color auto="1"/>
                </right>
                <top style="thin">
                  <color auto="1"/>
                </top>
                <bottom style="thin">
                  <color auto="1"/>
                </bottom>
              </border>
            </x14:dxf>
          </x14:cfRule>
          <xm:sqref>E7:E19</xm:sqref>
        </x14:conditionalFormatting>
        <x14:conditionalFormatting xmlns:xm="http://schemas.microsoft.com/office/excel/2006/main">
          <x14:cfRule type="expression" priority="168" id="{EE6BF65F-9457-49ED-9057-75AB1B0F6F3F}">
            <xm:f>'Program Config'!$C$14="D2L - LTI 1.3"</xm:f>
            <x14:dxf>
              <font>
                <b/>
                <i val="0"/>
                <color theme="0"/>
              </font>
              <fill>
                <patternFill>
                  <bgColor theme="8" tint="-0.499984740745262"/>
                </patternFill>
              </fill>
              <border>
                <left style="thin">
                  <color auto="1"/>
                </left>
                <right style="thin">
                  <color auto="1"/>
                </right>
                <top style="thin">
                  <color auto="1"/>
                </top>
                <bottom style="thin">
                  <color auto="1"/>
                </bottom>
              </border>
            </x14:dxf>
          </x14:cfRule>
          <xm:sqref>E7:E25</xm:sqref>
        </x14:conditionalFormatting>
        <x14:conditionalFormatting xmlns:xm="http://schemas.microsoft.com/office/excel/2006/main">
          <x14:cfRule type="expression" priority="173" id="{234043E6-E165-4763-A2CC-11DA0A496D28}">
            <xm:f>'Program Config'!$C$14="Google Classroom"</xm:f>
            <x14:dxf>
              <font>
                <b val="0"/>
                <i val="0"/>
                <color auto="1"/>
              </font>
              <fill>
                <patternFill patternType="none">
                  <bgColor auto="1"/>
                </patternFill>
              </fill>
              <border>
                <left style="thin">
                  <color auto="1"/>
                </left>
                <right style="thin">
                  <color auto="1"/>
                </right>
                <top style="thin">
                  <color auto="1"/>
                </top>
                <bottom style="thin">
                  <color auto="1"/>
                </bottom>
              </border>
            </x14:dxf>
          </x14:cfRule>
          <xm:sqref>E15:E16</xm:sqref>
        </x14:conditionalFormatting>
        <x14:conditionalFormatting xmlns:xm="http://schemas.microsoft.com/office/excel/2006/main">
          <x14:cfRule type="expression" priority="160" id="{1E55028D-F997-425F-9949-BCEF5ABC583A}">
            <xm:f>'Program Config'!$C$14="D2L - LTI 1.3"</xm:f>
            <x14:dxf>
              <font>
                <b val="0"/>
                <i val="0"/>
                <color auto="1"/>
              </font>
              <fill>
                <patternFill patternType="solid">
                  <bgColor theme="8"/>
                </patternFill>
              </fill>
              <border>
                <left style="thin">
                  <color auto="1"/>
                </left>
                <right style="thin">
                  <color auto="1"/>
                </right>
                <top style="thin">
                  <color auto="1"/>
                </top>
                <bottom style="thin">
                  <color auto="1"/>
                </bottom>
              </border>
            </x14:dxf>
          </x14:cfRule>
          <xm:sqref>E14:F14 E18:F18</xm:sqref>
        </x14:conditionalFormatting>
        <x14:conditionalFormatting xmlns:xm="http://schemas.microsoft.com/office/excel/2006/main">
          <x14:cfRule type="expression" priority="128" id="{D6FAD27C-7AE1-4AA9-8C4C-DF8838DA724B}">
            <xm:f>'Program Config'!$C$14="D2L - LTI 1.3"</xm:f>
            <x14:dxf>
              <font>
                <b val="0"/>
                <i val="0"/>
                <color auto="1"/>
              </font>
              <fill>
                <patternFill patternType="solid">
                  <bgColor theme="8"/>
                </patternFill>
              </fill>
              <border>
                <left style="thin">
                  <color auto="1"/>
                </left>
                <right style="thin">
                  <color auto="1"/>
                </right>
                <top style="thin">
                  <color auto="1"/>
                </top>
                <bottom style="thin">
                  <color auto="1"/>
                </bottom>
              </border>
            </x14:dxf>
          </x14:cfRule>
          <xm:sqref>E22:F22</xm:sqref>
        </x14:conditionalFormatting>
        <x14:conditionalFormatting xmlns:xm="http://schemas.microsoft.com/office/excel/2006/main">
          <x14:cfRule type="expression" priority="184" id="{B6C9DACB-C04E-4872-AB41-559D1FFA650A}">
            <xm:f>'Program Config'!$C$14="Google Classroom"</xm:f>
            <x14:dxf>
              <font>
                <b/>
                <i val="0"/>
                <u val="none"/>
                <color auto="1"/>
              </font>
              <fill>
                <patternFill>
                  <bgColor rgb="FFFFFF99"/>
                </patternFill>
              </fill>
              <border>
                <left style="thin">
                  <color auto="1"/>
                </left>
                <right style="thin">
                  <color auto="1"/>
                </right>
                <top style="thin">
                  <color auto="1"/>
                </top>
                <bottom style="thin">
                  <color auto="1"/>
                </bottom>
              </border>
            </x14:dxf>
          </x14:cfRule>
          <x14:cfRule type="expression" priority="166" id="{9C56022D-7DF9-4875-BED0-6629E15751F6}">
            <xm:f>'Program Config'!$C$14="Blackboard - LTI 1.3"</xm:f>
            <x14:dxf>
              <font>
                <b/>
                <i val="0"/>
                <u val="none"/>
                <color auto="1"/>
              </font>
              <fill>
                <patternFill>
                  <bgColor rgb="FFFFFF99"/>
                </patternFill>
              </fill>
              <border>
                <left style="thin">
                  <color auto="1"/>
                </left>
                <right style="thin">
                  <color auto="1"/>
                </right>
                <top style="thin">
                  <color auto="1"/>
                </top>
                <bottom style="thin">
                  <color auto="1"/>
                </bottom>
              </border>
            </x14:dxf>
          </x14:cfRule>
          <xm:sqref>F7:F8</xm:sqref>
        </x14:conditionalFormatting>
        <x14:conditionalFormatting xmlns:xm="http://schemas.microsoft.com/office/excel/2006/main">
          <x14:cfRule type="expression" priority="162" id="{FFA2AE0B-F3B5-4738-B699-826A9C7D74C2}">
            <xm:f>'Program Config'!$C$14="D2L - LTI 1.3"</xm:f>
            <x14:dxf>
              <font>
                <b val="0"/>
                <i val="0"/>
                <color auto="1"/>
              </font>
              <fill>
                <patternFill patternType="none">
                  <bgColor auto="1"/>
                </patternFill>
              </fill>
              <border>
                <left style="thin">
                  <color auto="1"/>
                </left>
                <right style="thin">
                  <color auto="1"/>
                </right>
                <top style="thin">
                  <color auto="1"/>
                </top>
                <bottom style="thin">
                  <color auto="1"/>
                </bottom>
              </border>
            </x14:dxf>
          </x14:cfRule>
          <xm:sqref>F7:F9 F15:F17 F19:F20</xm:sqref>
        </x14:conditionalFormatting>
        <x14:conditionalFormatting xmlns:xm="http://schemas.microsoft.com/office/excel/2006/main">
          <x14:cfRule type="expression" priority="167" id="{8B72064D-6ACC-4AA0-86E1-09A4EF403D3F}">
            <xm:f>'Program Config'!$C$14="Blackboard - LTI 1.3"</xm:f>
            <x14:dxf>
              <font>
                <b val="0"/>
                <i val="0"/>
                <color auto="1"/>
              </font>
              <fill>
                <patternFill patternType="none">
                  <bgColor auto="1"/>
                </patternFill>
              </fill>
              <border>
                <left style="thin">
                  <color auto="1"/>
                </left>
                <right style="thin">
                  <color auto="1"/>
                </right>
                <top style="thin">
                  <color auto="1"/>
                </top>
                <bottom style="thin">
                  <color auto="1"/>
                </bottom>
              </border>
            </x14:dxf>
          </x14:cfRule>
          <xm:sqref>F7:F9</xm:sqref>
        </x14:conditionalFormatting>
        <x14:conditionalFormatting xmlns:xm="http://schemas.microsoft.com/office/excel/2006/main">
          <x14:cfRule type="expression" priority="187" id="{D27B15D7-1369-4428-B348-C143962F5ED7}">
            <xm:f>'Program Config'!$C$14="Moodle - LTI 1.3"</xm:f>
            <x14:dxf>
              <font>
                <b val="0"/>
                <i val="0"/>
                <color auto="1"/>
              </font>
              <fill>
                <patternFill patternType="none">
                  <bgColor auto="1"/>
                </patternFill>
              </fill>
              <border>
                <left style="thin">
                  <color auto="1"/>
                </left>
                <right style="thin">
                  <color auto="1"/>
                </right>
                <top style="thin">
                  <color auto="1"/>
                </top>
                <bottom style="thin">
                  <color auto="1"/>
                </bottom>
              </border>
            </x14:dxf>
          </x14:cfRule>
          <xm:sqref>F7:F19</xm:sqref>
        </x14:conditionalFormatting>
        <x14:conditionalFormatting xmlns:xm="http://schemas.microsoft.com/office/excel/2006/main">
          <x14:cfRule type="expression" priority="165" id="{B8531471-D29F-4384-AE6B-049EF1F4DB0C}">
            <xm:f>'Program Config'!$C$14="Blackboard - LTI 1.3"</xm:f>
            <x14:dxf>
              <font>
                <b/>
                <i val="0"/>
                <u/>
                <color theme="4"/>
              </font>
              <fill>
                <patternFill patternType="solid">
                  <bgColor theme="0" tint="-0.14996795556505021"/>
                </patternFill>
              </fill>
              <border>
                <left style="thin">
                  <color auto="1"/>
                </left>
                <right style="thin">
                  <color auto="1"/>
                </right>
                <top style="thin">
                  <color auto="1"/>
                </top>
                <bottom style="thin">
                  <color auto="1"/>
                </bottom>
              </border>
            </x14:dxf>
          </x14:cfRule>
          <xm:sqref>F8</xm:sqref>
        </x14:conditionalFormatting>
        <x14:conditionalFormatting xmlns:xm="http://schemas.microsoft.com/office/excel/2006/main">
          <x14:cfRule type="expression" priority="164" id="{01ECF0D2-FD12-44DC-A385-65070896D2E3}">
            <xm:f>'Program Config'!$C$14='Drop Down Lists'!$B$5</xm:f>
            <x14:dxf>
              <font>
                <b/>
                <i val="0"/>
                <color auto="1"/>
              </font>
              <fill>
                <patternFill>
                  <bgColor theme="0" tint="-0.14996795556505021"/>
                </patternFill>
              </fill>
              <border>
                <left style="thin">
                  <color auto="1"/>
                </left>
                <right style="thin">
                  <color auto="1"/>
                </right>
                <top style="thin">
                  <color auto="1"/>
                </top>
                <bottom style="thin">
                  <color auto="1"/>
                </bottom>
              </border>
            </x14:dxf>
          </x14:cfRule>
          <xm:sqref>F9 E6:F6</xm:sqref>
        </x14:conditionalFormatting>
        <x14:conditionalFormatting xmlns:xm="http://schemas.microsoft.com/office/excel/2006/main">
          <x14:cfRule type="expression" priority="169" id="{E027ED67-A7CC-4E6A-8041-E89398F12033}">
            <xm:f>'Program Config'!$C$14='Drop Down Lists'!$B$5</xm:f>
            <x14:dxf>
              <font>
                <b/>
                <i val="0"/>
                <color auto="1"/>
              </font>
              <fill>
                <patternFill>
                  <bgColor theme="0" tint="-0.14996795556505021"/>
                </patternFill>
              </fill>
              <border>
                <left style="thin">
                  <color auto="1"/>
                </left>
                <right style="thin">
                  <color auto="1"/>
                </right>
                <top style="thin">
                  <color auto="1"/>
                </top>
                <bottom style="thin">
                  <color auto="1"/>
                </bottom>
              </border>
            </x14:dxf>
          </x14:cfRule>
          <xm:sqref>F9</xm:sqref>
        </x14:conditionalFormatting>
        <x14:conditionalFormatting xmlns:xm="http://schemas.microsoft.com/office/excel/2006/main">
          <x14:cfRule type="expression" priority="161" id="{5FF1001A-3324-49CC-8756-BEB473FFBB9A}">
            <xm:f>'Program Config'!$C$14="D2L - LTI 1.3"</xm:f>
            <x14:dxf>
              <font>
                <b/>
                <i val="0"/>
                <u val="none"/>
                <color auto="1"/>
              </font>
              <fill>
                <patternFill>
                  <bgColor rgb="FFFFFF99"/>
                </patternFill>
              </fill>
              <border>
                <left style="thin">
                  <color auto="1"/>
                </left>
                <right style="thin">
                  <color auto="1"/>
                </right>
                <top style="thin">
                  <color auto="1"/>
                </top>
                <bottom style="thin">
                  <color auto="1"/>
                </bottom>
              </border>
            </x14:dxf>
          </x14:cfRule>
          <xm:sqref>F9:F13 F21 F23</xm:sqref>
        </x14:conditionalFormatting>
        <x14:conditionalFormatting xmlns:xm="http://schemas.microsoft.com/office/excel/2006/main">
          <x14:cfRule type="expression" priority="186" id="{11C6C35E-855D-4E55-8567-51474208AD62}">
            <xm:f>'Program Config'!$C$14='Drop Down Lists'!$B$16</xm:f>
            <x14:dxf>
              <font>
                <b val="0"/>
                <i val="0"/>
                <color auto="1"/>
              </font>
              <fill>
                <patternFill patternType="none">
                  <bgColor auto="1"/>
                </patternFill>
              </fill>
              <border>
                <left style="thin">
                  <color auto="1"/>
                </left>
                <right style="thin">
                  <color auto="1"/>
                </right>
                <top style="thin">
                  <color auto="1"/>
                </top>
                <bottom style="thin">
                  <color auto="1"/>
                </bottom>
              </border>
            </x14:dxf>
          </x14:cfRule>
          <xm:sqref>F9:F13</xm:sqref>
        </x14:conditionalFormatting>
        <x14:conditionalFormatting xmlns:xm="http://schemas.microsoft.com/office/excel/2006/main">
          <x14:cfRule type="expression" priority="185" id="{22882467-85A2-459D-BD75-E614DAF60DFA}">
            <xm:f>'Program Config'!$C$14="Moodle - LTI 1.3"</xm:f>
            <x14:dxf>
              <font>
                <b/>
                <i val="0"/>
                <u val="none"/>
                <color auto="1"/>
              </font>
              <fill>
                <patternFill>
                  <bgColor rgb="FFFFFF99"/>
                </patternFill>
              </fill>
              <border>
                <left style="thin">
                  <color auto="1"/>
                </left>
                <right style="thin">
                  <color auto="1"/>
                </right>
                <top style="thin">
                  <color auto="1"/>
                </top>
                <bottom style="thin">
                  <color auto="1"/>
                </bottom>
              </border>
            </x14:dxf>
          </x14:cfRule>
          <xm:sqref>F12:F15 F8</xm:sqref>
        </x14:conditionalFormatting>
        <x14:conditionalFormatting xmlns:xm="http://schemas.microsoft.com/office/excel/2006/main">
          <x14:cfRule type="expression" priority="174" id="{7CB7307B-93BB-44B8-97F4-2340B97EEBE8}">
            <xm:f>'Program Config'!$C$14='Drop Down Lists'!$B$16</xm:f>
            <x14:dxf>
              <font>
                <b/>
                <i val="0"/>
                <color auto="1"/>
              </font>
              <fill>
                <patternFill>
                  <bgColor theme="0" tint="-0.14996795556505021"/>
                </patternFill>
              </fill>
              <border>
                <left style="thin">
                  <color auto="1"/>
                </left>
                <right style="thin">
                  <color auto="1"/>
                </right>
                <top style="thin">
                  <color auto="1"/>
                </top>
                <bottom style="thin">
                  <color auto="1"/>
                </bottom>
              </border>
            </x14:dxf>
          </x14:cfRule>
          <xm:sqref>F14 E6:F6</xm:sqref>
        </x14:conditionalFormatting>
        <x14:conditionalFormatting xmlns:xm="http://schemas.microsoft.com/office/excel/2006/main">
          <x14:cfRule type="expression" priority="170" id="{FE0A95BA-4182-46E3-9135-C165095D4507}">
            <xm:f>'Program Config'!$C$14="Google Classroom"</xm:f>
            <x14:dxf>
              <font>
                <b/>
                <i val="0"/>
                <u/>
                <color theme="4"/>
              </font>
              <fill>
                <patternFill patternType="solid">
                  <bgColor theme="0" tint="-0.14996795556505021"/>
                </patternFill>
              </fill>
              <border>
                <left style="thin">
                  <color auto="1"/>
                </left>
                <right style="thin">
                  <color auto="1"/>
                </right>
                <top style="thin">
                  <color auto="1"/>
                </top>
                <bottom style="thin">
                  <color auto="1"/>
                </bottom>
              </border>
            </x14:dxf>
          </x14:cfRule>
          <xm:sqref>F15:F16 F13</xm:sqref>
        </x14:conditionalFormatting>
        <x14:conditionalFormatting xmlns:xm="http://schemas.microsoft.com/office/excel/2006/main">
          <x14:cfRule type="expression" priority="171" id="{37A5C828-64B6-4409-BF51-EDF103BEE176}">
            <xm:f>'Program Config'!$C$14="Google Classroom"</xm:f>
            <x14:dxf>
              <font>
                <b val="0"/>
                <i val="0"/>
                <color auto="1"/>
              </font>
              <fill>
                <patternFill patternType="none">
                  <bgColor auto="1"/>
                </patternFill>
              </fill>
              <border>
                <left style="thin">
                  <color auto="1"/>
                </left>
                <right style="thin">
                  <color auto="1"/>
                </right>
                <top style="thin">
                  <color auto="1"/>
                </top>
                <bottom style="thin">
                  <color auto="1"/>
                </bottom>
              </border>
            </x14:dxf>
          </x14:cfRule>
          <xm:sqref>F15:F16</xm:sqref>
        </x14:conditionalFormatting>
        <x14:conditionalFormatting xmlns:xm="http://schemas.microsoft.com/office/excel/2006/main">
          <x14:cfRule type="expression" priority="180" id="{1D32A075-DC73-402B-8E92-A4A27D1B9953}">
            <xm:f>'Program Config'!$C$14="Moodle - LTI 1.3"</xm:f>
            <x14:dxf>
              <font>
                <b/>
                <i val="0"/>
                <u/>
                <color theme="4"/>
              </font>
              <fill>
                <patternFill patternType="solid">
                  <bgColor theme="0" tint="-0.14996795556505021"/>
                </patternFill>
              </fill>
              <border>
                <left style="thin">
                  <color auto="1"/>
                </left>
                <right style="thin">
                  <color auto="1"/>
                </right>
                <top style="thin">
                  <color auto="1"/>
                </top>
                <bottom style="thin">
                  <color auto="1"/>
                </bottom>
              </border>
            </x14:dxf>
          </x14:cfRule>
          <xm:sqref>F18</xm:sqref>
        </x14:conditionalFormatting>
        <x14:conditionalFormatting xmlns:xm="http://schemas.microsoft.com/office/excel/2006/main">
          <x14:cfRule type="expression" priority="181" id="{69F6DD13-C5F2-4CF1-93D2-96B3A5F4475A}">
            <xm:f>'Program Config'!$C$14="Moodle - LTI 1.3"</xm:f>
            <x14:dxf>
              <font>
                <b/>
                <i val="0"/>
                <u val="none"/>
                <color auto="1"/>
              </font>
              <fill>
                <patternFill>
                  <bgColor theme="0" tint="-0.14996795556505021"/>
                </patternFill>
              </fill>
              <border>
                <left style="thin">
                  <color auto="1"/>
                </left>
                <right style="thin">
                  <color auto="1"/>
                </right>
                <top style="thin">
                  <color auto="1"/>
                </top>
                <bottom style="thin">
                  <color auto="1"/>
                </bottom>
              </border>
            </x14:dxf>
          </x14:cfRule>
          <xm:sqref>F19 E6:F6</xm:sqref>
        </x14:conditionalFormatting>
        <x14:conditionalFormatting xmlns:xm="http://schemas.microsoft.com/office/excel/2006/main">
          <x14:cfRule type="expression" priority="159" id="{4A45C111-2768-47B8-81E2-063526E05E3D}">
            <xm:f>'Program Config'!$C$14="D2L - LTI 1.3"</xm:f>
            <x14:dxf>
              <font>
                <b/>
                <i val="0"/>
                <u/>
                <color theme="4"/>
              </font>
              <fill>
                <patternFill patternType="solid">
                  <bgColor theme="0" tint="-0.14996795556505021"/>
                </patternFill>
              </fill>
              <border>
                <left style="thin">
                  <color auto="1"/>
                </left>
                <right style="thin">
                  <color auto="1"/>
                </right>
                <top style="thin">
                  <color auto="1"/>
                </top>
                <bottom style="thin">
                  <color auto="1"/>
                </bottom>
              </border>
            </x14:dxf>
          </x14:cfRule>
          <xm:sqref>F24</xm:sqref>
        </x14:conditionalFormatting>
        <x14:conditionalFormatting xmlns:xm="http://schemas.microsoft.com/office/excel/2006/main">
          <x14:cfRule type="expression" priority="163" id="{046D4FC0-4A2A-4CFD-B94F-0EC77B08FE1A}">
            <xm:f>'Program Config'!$C$14='Drop Down Lists'!$B$7</xm:f>
            <x14:dxf>
              <font>
                <b/>
                <i val="0"/>
                <color auto="1"/>
              </font>
              <fill>
                <patternFill>
                  <bgColor theme="0" tint="-0.14996795556505021"/>
                </patternFill>
              </fill>
              <border>
                <left style="thin">
                  <color auto="1"/>
                </left>
                <right style="thin">
                  <color auto="1"/>
                </right>
                <top style="thin">
                  <color auto="1"/>
                </top>
                <bottom style="thin">
                  <color auto="1"/>
                </bottom>
              </border>
            </x14:dxf>
          </x14:cfRule>
          <xm:sqref>F24:F25 E6:F6</xm:sqref>
        </x14:conditionalFormatting>
        <x14:conditionalFormatting xmlns:xm="http://schemas.microsoft.com/office/excel/2006/main">
          <x14:cfRule type="expression" priority="154" id="{6C4CCF2A-FB0A-44FD-ABE5-FFB3CA60B803}">
            <xm:f>'Program Config'!$C$14="Blackboard - LTI 1.3"</xm:f>
            <x14:dxf>
              <font>
                <b/>
                <i val="0"/>
                <u val="none"/>
                <color auto="1"/>
              </font>
              <fill>
                <patternFill>
                  <bgColor theme="8" tint="0.79998168889431442"/>
                </patternFill>
              </fill>
              <border>
                <left style="thin">
                  <color auto="1"/>
                </left>
                <right style="thin">
                  <color auto="1"/>
                </right>
                <top style="thin">
                  <color auto="1"/>
                </top>
                <bottom style="thin">
                  <color auto="1"/>
                </bottom>
              </border>
            </x14:dxf>
          </x14:cfRule>
          <xm:sqref>G9</xm:sqref>
        </x14:conditionalFormatting>
        <x14:conditionalFormatting xmlns:xm="http://schemas.microsoft.com/office/excel/2006/main">
          <x14:cfRule type="expression" priority="143" id="{635CD882-1814-412D-AA2A-5D0753CFDDF1}">
            <xm:f>'Program Config'!$C$14="D2L - LTI 1.3"</xm:f>
            <x14:dxf>
              <font>
                <b/>
                <i val="0"/>
                <u val="none"/>
                <color auto="1"/>
              </font>
              <fill>
                <patternFill>
                  <bgColor theme="8" tint="0.79998168889431442"/>
                </patternFill>
              </fill>
              <border>
                <left style="thin">
                  <color auto="1"/>
                </left>
                <right style="thin">
                  <color auto="1"/>
                </right>
                <top style="thin">
                  <color auto="1"/>
                </top>
                <bottom style="thin">
                  <color auto="1"/>
                </bottom>
              </border>
            </x14:dxf>
          </x14:cfRule>
          <xm:sqref>G24:G25</xm:sqref>
        </x14:conditionalFormatting>
        <x14:conditionalFormatting xmlns:xm="http://schemas.microsoft.com/office/excel/2006/main">
          <x14:cfRule type="expression" priority="211" id="{ED21CB4A-0D60-4509-9DF5-4092F846C632}">
            <xm:f>'Program Config'!$C$14=""</xm:f>
            <x14:dxf>
              <font>
                <color theme="0"/>
              </font>
              <fill>
                <patternFill patternType="none">
                  <bgColor auto="1"/>
                </patternFill>
              </fill>
              <border>
                <left/>
                <right/>
                <top/>
                <bottom/>
                <vertical/>
                <horizontal/>
              </border>
            </x14:dxf>
          </x14:cfRule>
          <xm:sqref>I6:K12</xm:sqref>
        </x14:conditionalFormatting>
        <x14:conditionalFormatting xmlns:xm="http://schemas.microsoft.com/office/excel/2006/main">
          <x14:cfRule type="expression" priority="31" id="{6A7FA380-83C0-49A2-8DC5-95D955665261}">
            <xm:f>'Program Config'!$J$8="ClassLink OneRoster + T-Dash"</xm:f>
            <x14:dxf>
              <font>
                <b/>
                <i val="0"/>
                <color theme="0"/>
              </font>
              <fill>
                <patternFill>
                  <bgColor theme="8" tint="-0.499984740745262"/>
                </patternFill>
              </fill>
              <border>
                <left style="thin">
                  <color auto="1"/>
                </left>
                <right style="thin">
                  <color auto="1"/>
                </right>
                <top style="thin">
                  <color auto="1"/>
                </top>
                <bottom style="thin">
                  <color auto="1"/>
                </bottom>
              </border>
            </x14:dxf>
          </x14:cfRule>
          <x14:cfRule type="expression" priority="30" id="{214E0C7E-70FE-406B-A2D5-A5E3B54835AA}">
            <xm:f>'Program Config'!$J$8="ClassLink OneRoster + T-Dash + HDT"</xm:f>
            <x14:dxf>
              <font>
                <b/>
                <i val="0"/>
                <color theme="0"/>
              </font>
              <fill>
                <patternFill>
                  <bgColor theme="8" tint="-0.499984740745262"/>
                </patternFill>
              </fill>
              <border>
                <left style="thin">
                  <color auto="1"/>
                </left>
                <right style="thin">
                  <color auto="1"/>
                </right>
                <top style="thin">
                  <color auto="1"/>
                </top>
                <bottom style="thin">
                  <color auto="1"/>
                </bottom>
              </border>
            </x14:dxf>
          </x14:cfRule>
          <x14:cfRule type="expression" priority="32" id="{81842227-399A-4483-9190-D932E2FE17C4}">
            <xm:f>'Program Config'!$J$8="ClassLink OneRoster"</xm:f>
            <x14:dxf>
              <font>
                <b/>
                <i val="0"/>
                <color theme="0"/>
              </font>
              <fill>
                <patternFill>
                  <bgColor theme="8" tint="-0.499984740745262"/>
                </patternFill>
              </fill>
              <border>
                <left style="thin">
                  <color auto="1"/>
                </left>
                <right style="thin">
                  <color auto="1"/>
                </right>
                <top style="thin">
                  <color auto="1"/>
                </top>
                <bottom style="thin">
                  <color auto="1"/>
                </bottom>
              </border>
            </x14:dxf>
          </x14:cfRule>
          <xm:sqref>M7:M10 M12:M15</xm:sqref>
        </x14:conditionalFormatting>
        <x14:conditionalFormatting xmlns:xm="http://schemas.microsoft.com/office/excel/2006/main">
          <x14:cfRule type="expression" priority="13" id="{E6CF1A1C-9523-416C-A374-FEC3BDAF264F}">
            <xm:f>'Program Config'!$J$8="ClassLink OneRoster + T-Dash + HDT"</xm:f>
            <x14:dxf>
              <font>
                <b/>
                <i val="0"/>
                <color theme="0"/>
              </font>
              <fill>
                <patternFill>
                  <bgColor theme="8" tint="-0.499984740745262"/>
                </patternFill>
              </fill>
              <border>
                <left style="thin">
                  <color auto="1"/>
                </left>
                <right style="thin">
                  <color auto="1"/>
                </right>
                <top style="thin">
                  <color auto="1"/>
                </top>
                <bottom style="thin">
                  <color auto="1"/>
                </bottom>
              </border>
            </x14:dxf>
          </x14:cfRule>
          <x14:cfRule type="expression" priority="14" id="{53CA1EB4-139F-41B5-BF53-1595DE017F83}">
            <xm:f>'Program Config'!$J$8="ClassLink OneRoster + T-Dash"</xm:f>
            <x14:dxf>
              <font>
                <b/>
                <i val="0"/>
                <color theme="0"/>
              </font>
              <fill>
                <patternFill>
                  <bgColor theme="8" tint="-0.499984740745262"/>
                </patternFill>
              </fill>
              <border>
                <left style="thin">
                  <color auto="1"/>
                </left>
                <right style="thin">
                  <color auto="1"/>
                </right>
                <top style="thin">
                  <color auto="1"/>
                </top>
                <bottom style="thin">
                  <color auto="1"/>
                </bottom>
              </border>
            </x14:dxf>
          </x14:cfRule>
          <x14:cfRule type="expression" priority="15" id="{392C0D53-9A8E-465D-96A7-59138FF9736E}">
            <xm:f>'Program Config'!$J$8="ClassLink OneRoster"</xm:f>
            <x14:dxf>
              <font>
                <b/>
                <i val="0"/>
                <color theme="0"/>
              </font>
              <fill>
                <patternFill>
                  <bgColor theme="8" tint="-0.499984740745262"/>
                </patternFill>
              </fill>
              <border>
                <left style="thin">
                  <color auto="1"/>
                </left>
                <right style="thin">
                  <color auto="1"/>
                </right>
                <top style="thin">
                  <color auto="1"/>
                </top>
                <bottom style="thin">
                  <color auto="1"/>
                </bottom>
              </border>
            </x14:dxf>
          </x14:cfRule>
          <xm:sqref>M17:M19</xm:sqref>
        </x14:conditionalFormatting>
        <x14:conditionalFormatting xmlns:xm="http://schemas.microsoft.com/office/excel/2006/main">
          <x14:cfRule type="expression" priority="10" id="{12289CE7-EBFB-4A09-88B7-13E0E08BC06C}">
            <xm:f>'Program Config'!$J$8="ClassLink OneRoster + T-Dash + HDT"</xm:f>
            <x14:dxf>
              <font>
                <b/>
                <i val="0"/>
                <u val="none"/>
                <color auto="1"/>
              </font>
              <fill>
                <patternFill>
                  <bgColor theme="0" tint="-0.14996795556505021"/>
                </patternFill>
              </fill>
              <border>
                <left style="thin">
                  <color auto="1"/>
                </left>
                <right style="thin">
                  <color auto="1"/>
                </right>
                <top style="thin">
                  <color auto="1"/>
                </top>
                <bottom style="thin">
                  <color auto="1"/>
                </bottom>
              </border>
            </x14:dxf>
          </x14:cfRule>
          <x14:cfRule type="expression" priority="11" id="{886A0DE4-7EC9-4FA6-BE58-62A900011173}">
            <xm:f>'Program Config'!$J$8="ClassLink OneRoster + T-Dash"</xm:f>
            <x14:dxf>
              <font>
                <b/>
                <i val="0"/>
                <u val="none"/>
                <color auto="1"/>
              </font>
              <fill>
                <patternFill>
                  <bgColor theme="0" tint="-0.14996795556505021"/>
                </patternFill>
              </fill>
              <border>
                <left style="thin">
                  <color auto="1"/>
                </left>
                <right style="thin">
                  <color auto="1"/>
                </right>
                <top style="thin">
                  <color auto="1"/>
                </top>
                <bottom style="thin">
                  <color auto="1"/>
                </bottom>
              </border>
            </x14:dxf>
          </x14:cfRule>
          <x14:cfRule type="expression" priority="104" id="{0704FCFC-F2B3-40D5-9C41-EDFC60BDE1AF}">
            <xm:f>'Program Config'!$J$8="ClassLink OneRoster"</xm:f>
            <x14:dxf>
              <font>
                <b/>
                <i val="0"/>
                <u val="none"/>
                <color auto="1"/>
              </font>
              <fill>
                <patternFill>
                  <bgColor theme="0" tint="-0.14996795556505021"/>
                </patternFill>
              </fill>
              <border>
                <left style="thin">
                  <color auto="1"/>
                </left>
                <right style="thin">
                  <color auto="1"/>
                </right>
                <top style="thin">
                  <color auto="1"/>
                </top>
                <bottom style="thin">
                  <color auto="1"/>
                </bottom>
              </border>
            </x14:dxf>
          </x14:cfRule>
          <xm:sqref>M6:N6 N18</xm:sqref>
        </x14:conditionalFormatting>
        <x14:conditionalFormatting xmlns:xm="http://schemas.microsoft.com/office/excel/2006/main">
          <x14:cfRule type="expression" priority="25" id="{738E4A6C-D45A-4F31-9520-24BD838317F7}">
            <xm:f>'Program Config'!$J$8="ClassLink OneRoster + T-Dash + HDT"</xm:f>
            <x14:dxf>
              <font>
                <b val="0"/>
                <i val="0"/>
                <color auto="1"/>
              </font>
              <fill>
                <patternFill patternType="solid">
                  <bgColor theme="8"/>
                </patternFill>
              </fill>
              <border>
                <left style="thin">
                  <color auto="1"/>
                </left>
                <right style="thin">
                  <color auto="1"/>
                </right>
                <top style="thin">
                  <color auto="1"/>
                </top>
                <bottom style="thin">
                  <color auto="1"/>
                </bottom>
              </border>
            </x14:dxf>
          </x14:cfRule>
          <x14:cfRule type="expression" priority="26" id="{C7AE173E-13C8-4B06-B16E-E57C79E05800}">
            <xm:f>'Program Config'!$J$8="ClassLink OneRoster + T-Dash"</xm:f>
            <x14:dxf>
              <font>
                <b val="0"/>
                <i val="0"/>
                <color auto="1"/>
              </font>
              <fill>
                <patternFill patternType="solid">
                  <bgColor theme="8"/>
                </patternFill>
              </fill>
              <border>
                <left style="thin">
                  <color auto="1"/>
                </left>
                <right style="thin">
                  <color auto="1"/>
                </right>
                <top style="thin">
                  <color auto="1"/>
                </top>
                <bottom style="thin">
                  <color auto="1"/>
                </bottom>
              </border>
            </x14:dxf>
          </x14:cfRule>
          <x14:cfRule type="expression" priority="27" id="{F9CA2D37-16A7-40F9-B8B7-29710C648FA9}">
            <xm:f>'Program Config'!$J$8="ClassLink OneRoster"</xm:f>
            <x14:dxf>
              <font>
                <b val="0"/>
                <i val="0"/>
                <color auto="1"/>
              </font>
              <fill>
                <patternFill patternType="solid">
                  <bgColor theme="8"/>
                </patternFill>
              </fill>
              <border>
                <left style="thin">
                  <color auto="1"/>
                </left>
                <right style="thin">
                  <color auto="1"/>
                </right>
                <top style="thin">
                  <color auto="1"/>
                </top>
                <bottom style="thin">
                  <color auto="1"/>
                </bottom>
              </border>
            </x14:dxf>
          </x14:cfRule>
          <xm:sqref>M11:N11</xm:sqref>
        </x14:conditionalFormatting>
        <x14:conditionalFormatting xmlns:xm="http://schemas.microsoft.com/office/excel/2006/main">
          <x14:cfRule type="expression" priority="24" id="{E496574E-558E-4FCF-92DF-17CF3F72BE0E}">
            <xm:f>'Program Config'!$J$8="ClassLink OneRoster"</xm:f>
            <x14:dxf>
              <font>
                <b val="0"/>
                <i val="0"/>
                <color auto="1"/>
              </font>
              <fill>
                <patternFill patternType="solid">
                  <bgColor theme="8"/>
                </patternFill>
              </fill>
              <border>
                <left style="thin">
                  <color auto="1"/>
                </left>
                <right style="thin">
                  <color auto="1"/>
                </right>
                <top style="thin">
                  <color auto="1"/>
                </top>
                <bottom style="thin">
                  <color auto="1"/>
                </bottom>
              </border>
            </x14:dxf>
          </x14:cfRule>
          <x14:cfRule type="expression" priority="23" id="{10BA549B-9704-4140-A088-CEBEC8E8C12C}">
            <xm:f>'Program Config'!$J$8="ClassLink OneRoster + T-Dash"</xm:f>
            <x14:dxf>
              <font>
                <b val="0"/>
                <i val="0"/>
                <color auto="1"/>
              </font>
              <fill>
                <patternFill patternType="solid">
                  <bgColor theme="8"/>
                </patternFill>
              </fill>
              <border>
                <left style="thin">
                  <color auto="1"/>
                </left>
                <right style="thin">
                  <color auto="1"/>
                </right>
                <top style="thin">
                  <color auto="1"/>
                </top>
                <bottom style="thin">
                  <color auto="1"/>
                </bottom>
              </border>
            </x14:dxf>
          </x14:cfRule>
          <x14:cfRule type="expression" priority="22" id="{206D8F36-4C62-4CB0-A869-37C5BC74859F}">
            <xm:f>'Program Config'!$J$8="ClassLink OneRoster + T-Dash + HDT"</xm:f>
            <x14:dxf>
              <font>
                <b val="0"/>
                <i val="0"/>
                <color auto="1"/>
              </font>
              <fill>
                <patternFill patternType="solid">
                  <bgColor theme="8"/>
                </patternFill>
              </fill>
              <border>
                <left style="thin">
                  <color auto="1"/>
                </left>
                <right style="thin">
                  <color auto="1"/>
                </right>
                <top style="thin">
                  <color auto="1"/>
                </top>
                <bottom style="thin">
                  <color auto="1"/>
                </bottom>
              </border>
            </x14:dxf>
          </x14:cfRule>
          <xm:sqref>M16:N16</xm:sqref>
        </x14:conditionalFormatting>
        <x14:conditionalFormatting xmlns:xm="http://schemas.microsoft.com/office/excel/2006/main">
          <x14:cfRule type="expression" priority="2" id="{7A100D71-DC8B-41D0-9045-45AFEC452D89}">
            <xm:f>'Program Config'!$J$8="ClassLink OneRoster + T-Dash"</xm:f>
            <x14:dxf>
              <font>
                <b val="0"/>
                <i val="0"/>
                <color auto="1"/>
              </font>
              <fill>
                <patternFill patternType="none">
                  <bgColor auto="1"/>
                </patternFill>
              </fill>
              <border>
                <left style="thin">
                  <color auto="1"/>
                </left>
                <right style="thin">
                  <color auto="1"/>
                </right>
                <top style="thin">
                  <color auto="1"/>
                </top>
                <bottom style="thin">
                  <color auto="1"/>
                </bottom>
              </border>
            </x14:dxf>
          </x14:cfRule>
          <x14:cfRule type="expression" priority="1" id="{8A69623B-5DE6-41D1-B48A-287DA5D6088B}">
            <xm:f>'Program Config'!$J$8="ClassLink OneRoster + T-Dash + HDT"</xm:f>
            <x14:dxf>
              <font>
                <b val="0"/>
                <i val="0"/>
                <color auto="1"/>
              </font>
              <fill>
                <patternFill patternType="none">
                  <bgColor auto="1"/>
                </patternFill>
              </fill>
              <border>
                <left style="thin">
                  <color auto="1"/>
                </left>
                <right style="thin">
                  <color auto="1"/>
                </right>
                <top style="thin">
                  <color auto="1"/>
                </top>
                <bottom style="thin">
                  <color auto="1"/>
                </bottom>
              </border>
            </x14:dxf>
          </x14:cfRule>
          <x14:cfRule type="expression" priority="29" id="{B4BD568B-00F5-498B-A7F1-7DCEAF86085A}">
            <xm:f>'Program Config'!$J$8="ClassLink OneRoster"</xm:f>
            <x14:dxf>
              <font>
                <b val="0"/>
                <i val="0"/>
                <color auto="1"/>
              </font>
              <fill>
                <patternFill patternType="none">
                  <bgColor auto="1"/>
                </patternFill>
              </fill>
              <border>
                <left style="thin">
                  <color auto="1"/>
                </left>
                <right style="thin">
                  <color auto="1"/>
                </right>
                <top style="thin">
                  <color auto="1"/>
                </top>
                <bottom style="thin">
                  <color auto="1"/>
                </bottom>
              </border>
            </x14:dxf>
          </x14:cfRule>
          <xm:sqref>N7 N9 N12 N14:N15</xm:sqref>
        </x14:conditionalFormatting>
        <x14:conditionalFormatting xmlns:xm="http://schemas.microsoft.com/office/excel/2006/main">
          <x14:cfRule type="expression" priority="33" id="{5A6192AF-6B24-4E6F-B05F-6F627E8B5322}">
            <xm:f>'Program Config'!$J$8="ClassLink OneRoster + T-Dash + HDT"</xm:f>
            <x14:dxf>
              <font>
                <b/>
                <i val="0"/>
                <u val="none"/>
                <color auto="1"/>
              </font>
              <fill>
                <patternFill>
                  <bgColor rgb="FFFFFF99"/>
                </patternFill>
              </fill>
              <border>
                <left style="thin">
                  <color auto="1"/>
                </left>
                <right style="thin">
                  <color auto="1"/>
                </right>
                <top style="thin">
                  <color auto="1"/>
                </top>
                <bottom style="thin">
                  <color auto="1"/>
                </bottom>
              </border>
            </x14:dxf>
          </x14:cfRule>
          <x14:cfRule type="expression" priority="34" id="{A0FA5441-4824-472F-B5FA-821B679D10F3}">
            <xm:f>'Program Config'!$J$8="ClassLink OneRoster + T-Dash"</xm:f>
            <x14:dxf>
              <font>
                <b/>
                <i val="0"/>
                <u val="none"/>
                <color auto="1"/>
              </font>
              <fill>
                <patternFill>
                  <bgColor rgb="FFFFFF99"/>
                </patternFill>
              </fill>
              <border>
                <left style="thin">
                  <color auto="1"/>
                </left>
                <right style="thin">
                  <color auto="1"/>
                </right>
                <top style="thin">
                  <color auto="1"/>
                </top>
                <bottom style="thin">
                  <color auto="1"/>
                </bottom>
              </border>
            </x14:dxf>
          </x14:cfRule>
          <x14:cfRule type="expression" priority="35" id="{AF5E38D8-139E-43B3-A70F-007E944FFF69}">
            <xm:f>'Program Config'!$J$8="ClassLink OneRoster"</xm:f>
            <x14:dxf>
              <font>
                <b/>
                <i val="0"/>
                <u val="none"/>
                <color auto="1"/>
              </font>
              <fill>
                <patternFill>
                  <bgColor rgb="FFFFFF99"/>
                </patternFill>
              </fill>
              <border>
                <left style="thin">
                  <color auto="1"/>
                </left>
                <right style="thin">
                  <color auto="1"/>
                </right>
                <top style="thin">
                  <color auto="1"/>
                </top>
                <bottom style="thin">
                  <color auto="1"/>
                </bottom>
              </border>
            </x14:dxf>
          </x14:cfRule>
          <xm:sqref>N8 N10 N13</xm:sqref>
        </x14:conditionalFormatting>
        <x14:conditionalFormatting xmlns:xm="http://schemas.microsoft.com/office/excel/2006/main">
          <x14:cfRule type="expression" priority="9" id="{1CE98797-4FBE-4F6F-8AFF-E39F5CFCACC5}">
            <xm:f>'Program Config'!$J$8="ClassLink OneRoster"</xm:f>
            <x14:dxf>
              <font>
                <b/>
                <i val="0"/>
                <u/>
                <color theme="4"/>
              </font>
              <fill>
                <patternFill patternType="solid">
                  <bgColor theme="0" tint="-0.14996795556505021"/>
                </patternFill>
              </fill>
              <border>
                <left style="thin">
                  <color auto="1"/>
                </left>
                <right style="thin">
                  <color auto="1"/>
                </right>
                <top style="thin">
                  <color auto="1"/>
                </top>
                <bottom style="thin">
                  <color auto="1"/>
                </bottom>
              </border>
            </x14:dxf>
          </x14:cfRule>
          <x14:cfRule type="expression" priority="8" id="{90692448-4397-4644-ADF2-D4A66235DE3F}">
            <xm:f>'Program Config'!$J$8="ClassLink OneRoster + T-Dash"</xm:f>
            <x14:dxf>
              <font>
                <b/>
                <i val="0"/>
                <u/>
                <color theme="4"/>
              </font>
              <fill>
                <patternFill patternType="solid">
                  <bgColor theme="0" tint="-0.14996795556505021"/>
                </patternFill>
              </fill>
              <border>
                <left style="thin">
                  <color auto="1"/>
                </left>
                <right style="thin">
                  <color auto="1"/>
                </right>
                <top style="thin">
                  <color auto="1"/>
                </top>
                <bottom style="thin">
                  <color auto="1"/>
                </bottom>
              </border>
            </x14:dxf>
          </x14:cfRule>
          <x14:cfRule type="expression" priority="7" id="{B68B80AD-B027-4A77-97C7-94673AB6FFA4}">
            <xm:f>'Program Config'!$J$8="ClassLink OneRoster + T-Dash + HDT"</xm:f>
            <x14:dxf>
              <font>
                <b/>
                <i val="0"/>
                <u/>
                <color theme="4"/>
              </font>
              <fill>
                <patternFill patternType="solid">
                  <bgColor theme="0" tint="-0.14996795556505021"/>
                </patternFill>
              </fill>
              <border>
                <left style="thin">
                  <color auto="1"/>
                </left>
                <right style="thin">
                  <color auto="1"/>
                </right>
                <top style="thin">
                  <color auto="1"/>
                </top>
                <bottom style="thin">
                  <color auto="1"/>
                </bottom>
              </border>
            </x14:dxf>
          </x14:cfRule>
          <xm:sqref>N17</xm:sqref>
        </x14:conditionalFormatting>
        <x14:conditionalFormatting xmlns:xm="http://schemas.microsoft.com/office/excel/2006/main">
          <x14:cfRule type="expression" priority="3" id="{4129F9C8-0909-4759-9C3F-92AA14990E76}">
            <xm:f>'Program Config'!$J$8="ClassLink OneRoster + T-Dash + HDT"</xm:f>
            <x14:dxf>
              <font>
                <b/>
                <i val="0"/>
                <u val="none"/>
                <color auto="1"/>
              </font>
              <fill>
                <patternFill>
                  <bgColor theme="8" tint="0.79998168889431442"/>
                </patternFill>
              </fill>
              <border>
                <left style="thin">
                  <color auto="1"/>
                </left>
                <right style="thin">
                  <color auto="1"/>
                </right>
                <top style="thin">
                  <color auto="1"/>
                </top>
                <bottom style="thin">
                  <color auto="1"/>
                </bottom>
              </border>
            </x14:dxf>
          </x14:cfRule>
          <x14:cfRule type="expression" priority="5" id="{BADBBD6F-82BE-4B42-943C-3C43DC7057BA}">
            <xm:f>'Program Config'!$J$8="ClassLink OneRoster"</xm:f>
            <x14:dxf>
              <font>
                <b/>
                <i val="0"/>
                <u val="none"/>
                <color auto="1"/>
              </font>
              <fill>
                <patternFill>
                  <bgColor theme="8" tint="0.79998168889431442"/>
                </patternFill>
              </fill>
              <border>
                <left style="thin">
                  <color auto="1"/>
                </left>
                <right style="thin">
                  <color auto="1"/>
                </right>
                <top style="thin">
                  <color auto="1"/>
                </top>
                <bottom style="thin">
                  <color auto="1"/>
                </bottom>
              </border>
            </x14:dxf>
          </x14:cfRule>
          <x14:cfRule type="expression" priority="4" id="{2C93E1FB-B382-4823-A1DB-AC081E7260E1}">
            <xm:f>'Program Config'!$J$8="ClassLink OneRoster + T-Dash"</xm:f>
            <x14:dxf>
              <font>
                <b/>
                <i val="0"/>
                <u val="none"/>
                <color auto="1"/>
              </font>
              <fill>
                <patternFill>
                  <bgColor theme="8" tint="0.79998168889431442"/>
                </patternFill>
              </fill>
              <border>
                <left style="thin">
                  <color auto="1"/>
                </left>
                <right style="thin">
                  <color auto="1"/>
                </right>
                <top style="thin">
                  <color auto="1"/>
                </top>
                <bottom style="thin">
                  <color auto="1"/>
                </bottom>
              </border>
            </x14:dxf>
          </x14:cfRule>
          <xm:sqref>N19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39F10-87CE-4438-9585-90502FB6B8AA}">
  <sheetPr codeName="Sheet5"/>
  <dimension ref="A1:I28"/>
  <sheetViews>
    <sheetView topLeftCell="B2" zoomScale="80" zoomScaleNormal="80" workbookViewId="0">
      <selection activeCell="E14" sqref="E14"/>
    </sheetView>
  </sheetViews>
  <sheetFormatPr defaultColWidth="9.15625" defaultRowHeight="14.4" x14ac:dyDescent="0.55000000000000004"/>
  <cols>
    <col min="1" max="1" width="0" style="1" hidden="1" customWidth="1"/>
    <col min="2" max="2" width="20.68359375" style="24" customWidth="1"/>
    <col min="3" max="3" width="109.26171875" style="15" customWidth="1"/>
    <col min="4" max="6" width="9.15625" style="1"/>
    <col min="7" max="7" width="18.68359375" style="1" customWidth="1"/>
    <col min="8" max="8" width="49.578125" style="1" customWidth="1"/>
    <col min="9" max="9" width="37.578125" style="1" customWidth="1"/>
    <col min="10" max="16384" width="9.15625" style="1"/>
  </cols>
  <sheetData>
    <row r="1" spans="1:9" ht="43.2" x14ac:dyDescent="0.55000000000000004">
      <c r="A1" s="16" t="s">
        <v>135</v>
      </c>
      <c r="B1" s="92" t="s">
        <v>136</v>
      </c>
      <c r="C1" s="15" t="s">
        <v>675</v>
      </c>
      <c r="G1" s="94" t="s">
        <v>137</v>
      </c>
      <c r="H1" s="94" t="s">
        <v>138</v>
      </c>
      <c r="I1" s="94" t="s">
        <v>139</v>
      </c>
    </row>
    <row r="2" spans="1:9" ht="15.6" x14ac:dyDescent="0.55000000000000004">
      <c r="G2" s="101" t="s">
        <v>140</v>
      </c>
      <c r="H2" s="102" t="s">
        <v>141</v>
      </c>
      <c r="I2" s="102" t="s">
        <v>142</v>
      </c>
    </row>
    <row r="3" spans="1:9" ht="15.6" x14ac:dyDescent="0.55000000000000004">
      <c r="G3" s="101" t="s">
        <v>140</v>
      </c>
      <c r="H3" s="102" t="s">
        <v>143</v>
      </c>
      <c r="I3" s="102" t="s">
        <v>144</v>
      </c>
    </row>
    <row r="4" spans="1:9" ht="15.9" thickBot="1" x14ac:dyDescent="0.6">
      <c r="G4" s="101" t="s">
        <v>145</v>
      </c>
      <c r="H4" s="102" t="s">
        <v>146</v>
      </c>
      <c r="I4" s="102"/>
    </row>
    <row r="5" spans="1:9" ht="75" customHeight="1" x14ac:dyDescent="0.55000000000000004">
      <c r="B5" s="93" t="s">
        <v>674</v>
      </c>
      <c r="C5" s="25"/>
      <c r="G5" s="101" t="s">
        <v>147</v>
      </c>
      <c r="H5" s="83" t="s">
        <v>148</v>
      </c>
      <c r="I5" s="102" t="s">
        <v>149</v>
      </c>
    </row>
    <row r="6" spans="1:9" ht="26.1" x14ac:dyDescent="0.55000000000000004">
      <c r="B6" s="26"/>
      <c r="C6" s="27"/>
      <c r="G6" s="101" t="s">
        <v>150</v>
      </c>
      <c r="H6" s="21" t="s">
        <v>151</v>
      </c>
      <c r="I6" s="21" t="s">
        <v>152</v>
      </c>
    </row>
    <row r="7" spans="1:9" x14ac:dyDescent="0.55000000000000004">
      <c r="B7" s="26"/>
      <c r="C7" s="27"/>
    </row>
    <row r="8" spans="1:9" x14ac:dyDescent="0.55000000000000004">
      <c r="B8" s="91" t="s">
        <v>153</v>
      </c>
      <c r="C8" s="27"/>
    </row>
    <row r="9" spans="1:9" x14ac:dyDescent="0.55000000000000004">
      <c r="B9" s="87" t="s">
        <v>676</v>
      </c>
      <c r="C9" s="89"/>
    </row>
    <row r="10" spans="1:9" ht="21.3" x14ac:dyDescent="0.55000000000000004">
      <c r="B10" s="87" t="s">
        <v>677</v>
      </c>
      <c r="C10" s="90"/>
      <c r="E10" s="303"/>
    </row>
    <row r="11" spans="1:9" ht="21.3" x14ac:dyDescent="0.55000000000000004">
      <c r="B11" s="87" t="s">
        <v>678</v>
      </c>
      <c r="C11" s="89"/>
      <c r="E11" s="303"/>
    </row>
    <row r="12" spans="1:9" ht="21.3" x14ac:dyDescent="0.55000000000000004">
      <c r="B12" s="26"/>
      <c r="C12" s="27"/>
      <c r="E12" s="303"/>
    </row>
    <row r="13" spans="1:9" ht="21.3" x14ac:dyDescent="0.55000000000000004">
      <c r="B13" s="26"/>
      <c r="C13" s="27"/>
      <c r="E13" s="304"/>
    </row>
    <row r="14" spans="1:9" ht="150" customHeight="1" thickBot="1" x14ac:dyDescent="0.6">
      <c r="B14" s="88" t="s">
        <v>154</v>
      </c>
      <c r="C14" s="28" t="str">
        <f>_xlfn.CONCAT("&lt;p&gt;"&amp;($C$9)&amp;" &lt;a href="&amp;($A$1)&amp;"mPRODUCT4 lto:"&amp;($C$10)&amp;""&amp;($A$1)&amp;"&gt;"&amp;($C$10)&amp;"&lt;/a&gt;"&amp;($C$11)&amp;"&lt;p&gt;&lt;br&gt;")</f>
        <v>&lt;p&gt; &lt;a href="mPRODUCT4 lto:"&gt;&lt;/a&gt;&lt;p&gt;&lt;br&gt;</v>
      </c>
      <c r="H14" s="15"/>
    </row>
    <row r="15" spans="1:9" ht="14.7" thickBot="1" x14ac:dyDescent="0.6"/>
    <row r="16" spans="1:9" ht="75" customHeight="1" x14ac:dyDescent="0.55000000000000004">
      <c r="B16" s="93" t="s">
        <v>155</v>
      </c>
      <c r="C16" s="25"/>
    </row>
    <row r="17" spans="2:3" x14ac:dyDescent="0.55000000000000004">
      <c r="B17" s="26"/>
      <c r="C17" s="27"/>
    </row>
    <row r="18" spans="2:3" x14ac:dyDescent="0.55000000000000004">
      <c r="B18" s="26"/>
      <c r="C18" s="27"/>
    </row>
    <row r="19" spans="2:3" x14ac:dyDescent="0.55000000000000004">
      <c r="B19" s="91" t="s">
        <v>153</v>
      </c>
      <c r="C19" s="27"/>
    </row>
    <row r="20" spans="2:3" x14ac:dyDescent="0.55000000000000004">
      <c r="B20" s="86" t="s">
        <v>156</v>
      </c>
      <c r="C20" s="89"/>
    </row>
    <row r="21" spans="2:3" x14ac:dyDescent="0.55000000000000004">
      <c r="B21" s="86" t="s">
        <v>157</v>
      </c>
      <c r="C21" s="90"/>
    </row>
    <row r="22" spans="2:3" x14ac:dyDescent="0.55000000000000004">
      <c r="B22" s="86" t="s">
        <v>158</v>
      </c>
      <c r="C22" s="89"/>
    </row>
    <row r="23" spans="2:3" x14ac:dyDescent="0.55000000000000004">
      <c r="B23" s="86" t="s">
        <v>159</v>
      </c>
      <c r="C23" s="89"/>
    </row>
    <row r="24" spans="2:3" x14ac:dyDescent="0.55000000000000004">
      <c r="B24" s="26"/>
      <c r="C24" s="27"/>
    </row>
    <row r="25" spans="2:3" x14ac:dyDescent="0.55000000000000004">
      <c r="B25" s="26"/>
      <c r="C25" s="27"/>
    </row>
    <row r="26" spans="2:3" ht="150" customHeight="1" thickBot="1" x14ac:dyDescent="0.6">
      <c r="B26" s="88" t="s">
        <v>154</v>
      </c>
      <c r="C26" s="28" t="str">
        <f>_xlfn.CONCAT("&lt;p&gt;"&amp;($C$20)&amp;" &lt;a href="&amp;($A$1)&amp;""&amp;($C$21)&amp;""&amp;($A$1)&amp;"&gt;"&amp;($C$22)&amp;"&lt;/a&gt;"&amp;($C$23)&amp;"&lt;/p&gt;&lt;/br&gt;")</f>
        <v>&lt;p&gt; &lt;a href=""&gt;&lt;/a&gt;&lt;/p&gt;&lt;/br&gt;</v>
      </c>
    </row>
    <row r="28" spans="2:3" ht="18.3" x14ac:dyDescent="0.55000000000000004">
      <c r="B28" s="29"/>
      <c r="C28" s="30" t="s">
        <v>160</v>
      </c>
    </row>
  </sheetData>
  <sheetProtection algorithmName="SHA-512" hashValue="EGzl3Q9D7sC/SPpflFtwX4zfKcA8uP5MSLVpnOMV3CHPgJBpJ/kY/MbJ+CIj8a2UQwAkLgluoiFxGRsCISD9ew==" saltValue="UAiINYBdEj7XAw4IXXGqCQ==" spinCount="100000" sheet="1" objects="1" scenarios="1"/>
  <conditionalFormatting sqref="C9:C11">
    <cfRule type="cellIs" dxfId="9" priority="2" operator="greaterThan">
      <formula>0</formula>
    </cfRule>
  </conditionalFormatting>
  <conditionalFormatting sqref="C20:C23">
    <cfRule type="cellIs" dxfId="8" priority="1" operator="greaterThan">
      <formula>0</formula>
    </cfRule>
  </conditionalFormatting>
  <hyperlinks>
    <hyperlink ref="C28" r:id="rId1" xr:uid="{86E693F6-56F1-4AC7-B7C9-7721529F1B13}"/>
  </hyperlinks>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C8BFD-C9EE-4504-A9BC-BD28D3266D4D}">
  <sheetPr codeName="Sheet7">
    <pageSetUpPr fitToPage="1"/>
  </sheetPr>
  <dimension ref="A1:H43"/>
  <sheetViews>
    <sheetView zoomScale="80" zoomScaleNormal="80" workbookViewId="0">
      <selection activeCell="F3" sqref="F3"/>
    </sheetView>
  </sheetViews>
  <sheetFormatPr defaultRowHeight="14.4" x14ac:dyDescent="0.55000000000000004"/>
  <cols>
    <col min="1" max="1" width="3.578125" style="18" customWidth="1"/>
    <col min="2" max="2" width="32.68359375" customWidth="1"/>
    <col min="3" max="3" width="81.578125" customWidth="1"/>
    <col min="4" max="4" width="66.68359375" hidden="1" customWidth="1"/>
    <col min="5" max="5" width="3.578125" style="18" hidden="1" customWidth="1"/>
    <col min="6" max="6" width="3.68359375" style="18" customWidth="1"/>
    <col min="7" max="7" width="26.41796875" customWidth="1"/>
    <col min="8" max="8" width="59" customWidth="1"/>
  </cols>
  <sheetData>
    <row r="1" spans="1:8" s="7" customFormat="1" ht="28" customHeight="1" x14ac:dyDescent="0.55000000000000004">
      <c r="B1" s="891" t="str">
        <f>IF('Program Config'!$F$10&lt;&gt;"",'Program Config'!$F$10,"This componenet requires the Program Name")</f>
        <v>DEMO</v>
      </c>
      <c r="C1" s="892"/>
      <c r="D1" s="305"/>
      <c r="E1" s="305"/>
      <c r="F1" s="305"/>
    </row>
    <row r="2" spans="1:8" s="17" customFormat="1" ht="18" customHeight="1" x14ac:dyDescent="0.6">
      <c r="A2" s="19"/>
      <c r="B2" s="873" t="s">
        <v>218</v>
      </c>
      <c r="C2" s="874"/>
      <c r="D2" s="291"/>
      <c r="E2" s="19"/>
      <c r="F2" s="19"/>
      <c r="G2" s="151" t="s">
        <v>887</v>
      </c>
      <c r="H2" s="152" t="str">
        <f>IF('Program Config'!$C$5&lt;&gt;"",HYPERLINK('Program Config'!$C$5,_xlfn.CONCAT(SUBSTITUTE(UPPER(Concats!$A$8),"/",""),"_CRM _Link")),"")</f>
        <v>LINKEDIN_CRM _Link</v>
      </c>
    </row>
    <row r="3" spans="1:8" s="17" customFormat="1" ht="18" customHeight="1" x14ac:dyDescent="0.6">
      <c r="A3" s="19"/>
      <c r="B3" s="306" t="s">
        <v>219</v>
      </c>
      <c r="C3" s="307" t="str">
        <f>IF('Program Config'!$C$14&lt;&gt;"",'Program Config'!$C$14,"")</f>
        <v>LMS1 - GENINTEGRATION 31 Link &amp; Course NAV</v>
      </c>
      <c r="D3" s="33"/>
      <c r="E3" s="19"/>
      <c r="F3" s="19"/>
      <c r="G3" s="7"/>
      <c r="H3" s="7"/>
    </row>
    <row r="4" spans="1:8" s="17" customFormat="1" ht="18" customHeight="1" x14ac:dyDescent="0.6">
      <c r="A4" s="19"/>
      <c r="B4" s="306" t="s">
        <v>885</v>
      </c>
      <c r="C4" s="308" t="str">
        <f>IF('Program Config'!$J$14&lt;&gt;"",'Program Config'!$J$14,"")</f>
        <v/>
      </c>
      <c r="D4" s="292"/>
      <c r="E4" s="19"/>
      <c r="F4" s="19"/>
      <c r="G4" s="869" t="s">
        <v>888</v>
      </c>
      <c r="H4" s="870"/>
    </row>
    <row r="5" spans="1:8" s="17" customFormat="1" ht="18" customHeight="1" x14ac:dyDescent="0.6">
      <c r="A5" s="19"/>
      <c r="B5" s="306" t="s">
        <v>719</v>
      </c>
      <c r="C5" s="307" t="str">
        <f>IF('Program Config'!$C$28&lt;&gt;"",'Program Config'!$C$28,"")</f>
        <v>NONCE-nonce-NONCE2-nonce3-nonce</v>
      </c>
      <c r="D5" s="33"/>
      <c r="E5" s="19"/>
      <c r="F5" s="19"/>
      <c r="G5" s="886" t="str">
        <f>IFERROR(VLOOKUP('Program Config'!I2,'Drop Down Lists'!AV14:AW17,2,FALSE),'Drop Down Lists'!AW14)</f>
        <v>DEMO Program Configured  for MARKET4 Market (ID #2026). LIs sent to CSM &amp; Type1s for LMS1 - GENINTEGRATION 31 Link &amp; Course NAV Integration &amp; Program Preferences drafted. Kick off call scMARKET2uled for 02/26/2026 @ 1:00 PM EST. 
Additional Information can be found in the CRM Data Source [DOC1] (Link: https://www.linkedin.com/in/jo-ann-balsamo/).  
@Steven Ramos @Leah Adler @Gavin Park @m.chen@demodata.com</v>
      </c>
      <c r="H5" s="886"/>
    </row>
    <row r="6" spans="1:8" s="17" customFormat="1" ht="18" customHeight="1" x14ac:dyDescent="0.6">
      <c r="A6" s="19"/>
      <c r="B6" s="306" t="str" cm="1">
        <f t="array" ref="B6">_xlfn.IFS('Program Config'!C14="LMS4", "X.509 Certificate", 'Program Config'!C14="LMS3", "LMS3 District ID", 'Program Config'!C14="LMS10", "X.509 Certificate", TRUE, "DemoData27")</f>
        <v>DemoData27</v>
      </c>
      <c r="C6" s="307" t="str">
        <f>IF('Program Config'!$C$30&lt;&gt;"",'Program Config'!$C$30,"")</f>
        <v>Nonce7</v>
      </c>
      <c r="D6" s="33"/>
      <c r="E6" s="19"/>
      <c r="F6" s="19"/>
      <c r="G6" s="887"/>
      <c r="H6" s="887"/>
    </row>
    <row r="7" spans="1:8" s="17" customFormat="1" ht="18" customHeight="1" x14ac:dyDescent="0.6">
      <c r="A7" s="19"/>
      <c r="B7" s="306" t="s">
        <v>220</v>
      </c>
      <c r="C7" s="307">
        <f>IF('Program Config'!$C$27&lt;&gt;"",'Program Config'!$C$27,"")</f>
        <v>2026</v>
      </c>
      <c r="D7" s="33"/>
      <c r="E7" s="19"/>
      <c r="F7" s="19"/>
      <c r="G7" s="887"/>
      <c r="H7" s="887"/>
    </row>
    <row r="8" spans="1:8" s="17" customFormat="1" ht="18" customHeight="1" x14ac:dyDescent="0.6">
      <c r="A8" s="19"/>
      <c r="B8" s="306" t="str">
        <f>IF('Program Config'!I2="Ticket", "JSM Ticket Link", "Start Date")</f>
        <v>Start Date</v>
      </c>
      <c r="C8" s="309">
        <f>IF(AND('Program Config'!$D$16&gt;0,'Program Config'!$D$21&gt;0),_xlfn.CONCAT("1st Contract Line: "&amp;TEXT('Program Config'!$D$16,"mm/dd/yyyy")&amp;" | 2nd Contract Line: "&amp;TEXT('Program Config'!$D$21,"mm/dd/yyyy")&amp;""),IF(OR('Program Config'!$D$16=0,'Program Config'!$D$21=0),IF('Program Config'!$D$16&lt;&gt;0,'Program Config'!$D$16,IF('Program Config'!$D$21&lt;&gt;0,'Program Config'!$D$21,"")),""))</f>
        <v>46023</v>
      </c>
      <c r="D8" s="293"/>
      <c r="E8" s="19"/>
      <c r="F8" s="19"/>
      <c r="G8" s="887"/>
      <c r="H8" s="887"/>
    </row>
    <row r="9" spans="1:8" s="17" customFormat="1" ht="18" customHeight="1" x14ac:dyDescent="0.6">
      <c r="A9" s="19"/>
      <c r="B9" s="306" t="str">
        <f>IF('Program Config'!I2="Ticket", "", "End Date")</f>
        <v>End Date</v>
      </c>
      <c r="C9" s="309">
        <f>IF(AND('Program Config'!$F$16&gt;0,'Program Config'!$F$21&gt;0),_xlfn.CONCAT("1st Contract Line: "&amp;TEXT('Program Config'!$F$16,"mm/dd/yyyy")&amp;" | 2nd Contract Line: "&amp;TEXT('Program Config'!$F$21,"mm/dd/yyyy")&amp;""),IF(OR('Program Config'!$F$16=0,'Program Config'!$F$21=0),IF('Program Config'!$F$16&lt;&gt;0,'Program Config'!$F$16,IF('Program Config'!$F$21&lt;&gt;0,'Program Config'!$F$21,"")),""))</f>
        <v>46387</v>
      </c>
      <c r="D9" s="293"/>
      <c r="E9" s="19"/>
      <c r="F9" s="19"/>
      <c r="G9" s="887"/>
      <c r="H9" s="887"/>
    </row>
    <row r="10" spans="1:8" s="17" customFormat="1" ht="18" customHeight="1" x14ac:dyDescent="0.6">
      <c r="A10" s="19"/>
      <c r="B10" s="306" t="str">
        <f>IF('Program Config'!I2="Ticket", "", "Target Launch Date")</f>
        <v>Target Launch Date</v>
      </c>
      <c r="C10" s="309">
        <f>IF(AND('Program Config'!$H$16&gt;0,'Program Config'!$H$21&gt;0),_xlfn.CONCAT("1st Contract Line: "&amp;TEXT('Program Config'!$H$16,"mm/dd/yyyy")&amp;" | 2nd Contract Line: "&amp;TEXT('Program Config'!$H$21,"mm/dd/yyyy")&amp;""),IF(OR('Program Config'!$H$16=0,'Program Config'!$H$21=0),IF('Program Config'!$H$16&lt;&gt;0,'Program Config'!$H$16,IF('Program Config'!$H$21&lt;&gt;0,'Program Config'!$H$21,"")),""))</f>
        <v>46081</v>
      </c>
      <c r="D10" s="293"/>
      <c r="E10" s="19"/>
      <c r="F10" s="19"/>
      <c r="G10" s="887"/>
      <c r="H10" s="887"/>
    </row>
    <row r="11" spans="1:8" s="17" customFormat="1" ht="18" customHeight="1" x14ac:dyDescent="0.6">
      <c r="A11" s="19"/>
      <c r="B11" s="306" t="str">
        <f>IF('Program Config'!I2="Ticket", "", "Revenue")</f>
        <v>Revenue</v>
      </c>
      <c r="C11" s="308" t="str">
        <f>_xlfn.CONCAT(IF(OR(LEFT('Program Config'!$F$20,3)&lt;&gt;"You",LEFT('Program Config'!$F$25,3)&lt;&gt;"You"),TEXT((IFERROR(SUM('Program Config'!$F$20),0)+IFERROR(SUM('Program Config'!$F$25),0)),"$##,##0.00"),"")&amp;IF(AND(LEFT('Program Config'!$F$20,3)&lt;&gt;"you",LEFT('Program Config'!$F$25,3)&lt;&gt;"You"),_xlfn.CONCAT(" [1st Contract Line: "&amp;TEXT('Program Config'!$F$20,"$##,##0.00")&amp;" | 2nd Contract Line: "&amp;TEXT('Program Config'!$F$25,"$##,##0.00")&amp;"]",""),""))</f>
        <v>$100.00</v>
      </c>
      <c r="D11" s="292"/>
      <c r="E11" s="19"/>
      <c r="F11" s="19"/>
      <c r="G11" s="887"/>
      <c r="H11" s="887"/>
    </row>
    <row r="12" spans="1:8" s="17" customFormat="1" ht="18" customHeight="1" x14ac:dyDescent="0.6">
      <c r="A12" s="19"/>
      <c r="B12" s="306" t="str">
        <f>IF('Program Config'!I2="Ticket", "", "Type")</f>
        <v>Type</v>
      </c>
      <c r="C12" s="307" t="str">
        <f>IF(AND('Program Config'!$C$17&gt;0,'Program Config'!$C$22&gt;0),_xlfn.CONCAT("1st Contract Line: "&amp;('Program Config'!$C$17)&amp;" | 2nd Contract Line: "&amp;('Program Config'!$C$22)&amp;""),IF(OR('Program Config'!$C$17=0,'Program Config'!$C$22=0),IF('Program Config'!$C$17&lt;&gt;0,'Program Config'!$C$17,IF('Program Config'!$C$22&lt;&gt;0,'Program Config'!$C$22,"")),""))</f>
        <v>Per Hour</v>
      </c>
      <c r="D12" s="33"/>
      <c r="E12" s="19"/>
      <c r="F12" s="19"/>
      <c r="G12" s="887"/>
      <c r="H12" s="887"/>
    </row>
    <row r="13" spans="1:8" s="17" customFormat="1" ht="18" customHeight="1" x14ac:dyDescent="0.6">
      <c r="A13" s="19"/>
      <c r="B13" s="306" t="str">
        <f>IF('Program Config'!I2="Ticket", "", "Target")</f>
        <v>Target</v>
      </c>
      <c r="C13" s="310" t="str">
        <f>IF(AND(LEFT('Program Config'!$I$20,3)&lt;&gt;"you",LEFT('Program Config'!$I$25,3)&lt;&gt;"you"),_xlfn.CONCAT("1st Contract Line: "&amp;TEXT('Program Config'!$I$20,"##,##0.00")&amp;" | 2nd Contract Line: "&amp;TEXT('Program Config'!$I$25,"##,##0.00")&amp;""),IF(OR(LEFT('Program Config'!$I$20,3)="you",LEFT('Program Config'!$I$25,3)="you"),IF(LEFT('Program Config'!$I$20,3)&lt;&gt;"you",'Program Config'!$I$20,IF(LEFT('Program Config'!$I$25,3)&lt;&gt;"you",'Program Config'!$I$25,"")),""))</f>
        <v>100</v>
      </c>
      <c r="D13" s="294"/>
      <c r="E13" s="19"/>
      <c r="F13" s="19"/>
      <c r="G13" s="887"/>
      <c r="H13" s="887"/>
    </row>
    <row r="14" spans="1:8" s="17" customFormat="1" ht="18" customHeight="1" x14ac:dyDescent="0.6">
      <c r="A14" s="19"/>
      <c r="B14" s="306" t="str">
        <f>IF('Program Config'!I2="Ticket", "", "PAGE2")</f>
        <v>PAGE2</v>
      </c>
      <c r="C14" s="310" t="str">
        <f>IF(AND('Program Config'!$E$18&gt;0,'Program Config'!$E$23&gt;0),_xlfn.CONCAT("1st Contract Line: "&amp;('Program Config'!$E$18)&amp;" | 2nd Contract Line: "&amp;('Program Config'!$E$23)&amp;""),IF(OR('Program Config'!$E$18=0,'Program Config'!$E$23=0),IF('Program Config'!$E$18&lt;&gt;0,'Program Config'!$E$18,IF('Program Config'!$E$23&lt;&gt;0,'Program Config'!$E$23,"")),""))</f>
        <v>No</v>
      </c>
      <c r="D14" s="294"/>
      <c r="E14" s="19"/>
      <c r="F14" s="19"/>
      <c r="G14" s="887"/>
      <c r="H14" s="887"/>
    </row>
    <row r="15" spans="1:8" s="17" customFormat="1" ht="18" customHeight="1" x14ac:dyDescent="0.6">
      <c r="A15" s="19"/>
      <c r="B15" s="306" t="str">
        <f>IF('Program Config'!I2="Ticket", "", "CADENCE")</f>
        <v>CADENCE</v>
      </c>
      <c r="C15" s="307" t="str">
        <f>IF(AND('Program Config'!$E$19&gt;0,'Program Config'!$E$24&gt;0),_xlfn.CONCAT("1st Contract Line: "&amp;('Program Config'!$E$19)&amp;" | 2nd Contract Line: "&amp;('Program Config'!$E$24)&amp;""),IF(OR('Program Config'!$E$19=0,'Program Config'!$E$24=0),IF('Program Config'!$E$19&lt;&gt;0,'Program Config'!$E$19,IF('Program Config'!$E$24&lt;&gt;0,'Program Config'!$E$24,"")),""))</f>
        <v>No</v>
      </c>
      <c r="D15" s="33"/>
      <c r="E15" s="19"/>
      <c r="F15" s="19"/>
      <c r="G15" s="887"/>
      <c r="H15" s="887"/>
    </row>
    <row r="16" spans="1:8" s="17" customFormat="1" ht="18" customHeight="1" x14ac:dyDescent="0.6">
      <c r="A16" s="19"/>
      <c r="B16" s="306" t="str">
        <f>IF('Program Config'!I2="Ticket", "", "Includes PROD187")</f>
        <v>Includes PROD187</v>
      </c>
      <c r="C16" s="309" t="str">
        <f>IF(AND('Program Config'!$E$20&gt;0,'Program Config'!$E$25&gt;0),_xlfn.CONCAT("1st Contract Line: "&amp;('Program Config'!$E$20)&amp;" | 2nd Contract Line: "&amp;('Program Config'!$E$25)&amp;""),IF(OR('Program Config'!$E$20=0,'Program Config'!$E$25=0),IF('Program Config'!$E$20&lt;&gt;0,'Program Config'!$E$20,IF('Program Config'!$E$25&lt;&gt;0,'Program Config'!$E$25,"")),""))</f>
        <v>Yes</v>
      </c>
      <c r="D16" s="293"/>
      <c r="E16" s="19"/>
      <c r="F16" s="19"/>
      <c r="G16" s="887"/>
      <c r="H16" s="887"/>
    </row>
    <row r="17" spans="1:8" s="17" customFormat="1" ht="18" customHeight="1" x14ac:dyDescent="0.6">
      <c r="A17" s="19"/>
      <c r="B17" s="306" t="str">
        <f>IF('Program Config'!I2="Ticket", "", "Website")</f>
        <v>Website</v>
      </c>
      <c r="C17" s="311" t="str">
        <f>IF('Program Config'!$C$12&lt;&gt;"",HYPERLINK('Program Config'!$C$12),"")</f>
        <v>https://www.linkedin.com/in/jo-ann-balsamo/</v>
      </c>
      <c r="D17" s="295"/>
      <c r="E17" s="19"/>
      <c r="F17" s="19"/>
      <c r="G17" s="887"/>
      <c r="H17" s="887"/>
    </row>
    <row r="18" spans="1:8" s="17" customFormat="1" ht="18" customHeight="1" x14ac:dyDescent="0.6">
      <c r="A18" s="19"/>
      <c r="B18" s="306" t="str">
        <f>IF('Program Config'!I2="Ticket", "", "State")</f>
        <v>State</v>
      </c>
      <c r="C18" s="307" t="str">
        <f>IF('Program Config'!I2&lt;&gt;"Ticket",IF('Program Config'!$C$11&lt;&gt;"",'Program Config'!$C$11,""),"")</f>
        <v>Alabama (AL)</v>
      </c>
      <c r="D18" s="33"/>
      <c r="E18" s="19"/>
      <c r="F18" s="19"/>
      <c r="G18" s="887"/>
      <c r="H18" s="887"/>
    </row>
    <row r="19" spans="1:8" s="17" customFormat="1" ht="18" customHeight="1" x14ac:dyDescent="0.6">
      <c r="A19" s="19"/>
      <c r="B19" s="306" t="str">
        <f>IF('Program Config'!I2="Ticket", "", "Time Zone")</f>
        <v>Time Zone</v>
      </c>
      <c r="C19" s="307" t="str">
        <f>IF('Program Config'!$C$13&lt;&gt;"",'Program Config'!$C$13,"")</f>
        <v>(GMT -8.0) Pacific Time (US &amp; Canada)</v>
      </c>
      <c r="D19" s="33"/>
      <c r="E19" s="19"/>
      <c r="F19" s="19"/>
    </row>
    <row r="20" spans="1:8" s="17" customFormat="1" ht="18" customHeight="1" x14ac:dyDescent="0.6">
      <c r="A20" s="19"/>
      <c r="B20" s="312" t="str">
        <f>IF('Program Config'!I2="Ticket",_xlfn.CONCAT(UPPER(SUBSTITUTE(Concats!$A$8,"/",""))&amp;"_"&amp;(_xlfn.TEXTAFTER('Program Config'!$I$4,"/",4))),"")</f>
        <v/>
      </c>
      <c r="C20" s="313"/>
      <c r="D20" s="296"/>
      <c r="E20" s="19"/>
      <c r="F20" s="19"/>
    </row>
    <row r="21" spans="1:8" s="17" customFormat="1" ht="18" customHeight="1" x14ac:dyDescent="0.6">
      <c r="A21" s="19"/>
      <c r="B21" s="879" t="s">
        <v>221</v>
      </c>
      <c r="C21" s="314" t="str">
        <f>IF('Program Config'!I2="Ticket", "See JSM Ticket for Full Notes", "See for Full Notes")</f>
        <v>See for Full Notes</v>
      </c>
      <c r="D21" s="297"/>
      <c r="E21" s="19"/>
      <c r="F21" s="19"/>
    </row>
    <row r="22" spans="1:8" s="17" customFormat="1" ht="18" customHeight="1" x14ac:dyDescent="0.6">
      <c r="A22" s="19"/>
      <c r="B22" s="880"/>
      <c r="C22" s="315" t="str" cm="1">
        <f t="array" ref="C22">IF('Program Config'!I2="Ticket",_xlfn.IFS('Program Config'!$I$4=0,"",'Program Config'!$I$4="n/a","",'Program Config'!$I$4&gt;0,HYPERLINK('Program Config'!$I$4,IFERROR(_xlfn.CONCAT("JSM Ticket "&amp;UPPER(SUBSTITUTE(Concats!$A$8,"/",""))&amp;"_"&amp;(_xlfn.TEXTAFTER('Program Config'!$I$4,"/",4))),'Program Config'!$I$4))),"")</f>
        <v/>
      </c>
      <c r="D22" s="298"/>
      <c r="E22" s="19"/>
      <c r="F22" s="19"/>
    </row>
    <row r="23" spans="1:8" s="17" customFormat="1" ht="18" customHeight="1" x14ac:dyDescent="0.6">
      <c r="A23" s="19"/>
      <c r="B23" s="880"/>
      <c r="C23" s="315" t="str" cm="1">
        <f t="array" ref="C23">IF('Program Config'!I2="Ticket",_xlfn.IFS('Program Config'!$I$3=0,"",'Program Config'!$I$3="n/a","n/a",'Program Config'!$I$3&gt;0,HYPERLINK('Program Config'!$I$3,_xlfn.CONCAT(UPPER(SUBSTITUTE(Concats!$A$8,"/",""))&amp;"_AUTO_SHEET"))),"")</f>
        <v/>
      </c>
      <c r="D23" s="298"/>
      <c r="E23" s="19"/>
      <c r="F23" s="19"/>
    </row>
    <row r="24" spans="1:8" s="17" customFormat="1" ht="18" customHeight="1" x14ac:dyDescent="0.6">
      <c r="A24" s="19"/>
      <c r="B24" s="880"/>
      <c r="C24" s="315" t="str" cm="1">
        <f t="array" ref="C24">IF('Program Config'!I2="Ticket",IFERROR(_xlfn.IFS('Comms &amp; Tech'!$G$9&lt;&gt;"",HYPERLINK('Comms &amp; Tech'!$G$9,'Comms &amp; Tech'!F$9),'Comms &amp; Tech'!$G$25&lt;&gt;"",HYPERLINK('Comms &amp; Tech'!$G$25,'Comms &amp; Tech'!F$25),'Comms &amp; Tech'!$G$14&lt;&gt;"",HYPERLINK('Comms &amp; Tech'!$G$14,'Comms &amp; Tech'!F$14),'Comms &amp; Tech'!$G$19&lt;&gt;"",HYPERLINK('Comms &amp; Tech'!$G$19,'Comms &amp; Tech'!F$19)),""),"")</f>
        <v/>
      </c>
      <c r="D24" s="298"/>
      <c r="E24" s="19"/>
      <c r="F24" s="19"/>
      <c r="G24"/>
      <c r="H24"/>
    </row>
    <row r="25" spans="1:8" s="17" customFormat="1" ht="18" customHeight="1" x14ac:dyDescent="0.6">
      <c r="A25" s="19"/>
      <c r="B25" s="880"/>
      <c r="C25" s="315" t="str" cm="1">
        <f t="array" ref="C25">IF('Program Config'!I2="Ticket",_xlfn.IFS('Web Logo Search &amp; Drop'!$A$6=0,"",'Web Logo Search &amp; Drop'!$A$6="n/a","n/a",'Web Logo Search &amp; Drop'!$A$6&gt;0,HYPERLINK('Web Logo Search &amp; Drop'!A6,'Web Logo Search &amp; Drop'!C3)),"")</f>
        <v/>
      </c>
      <c r="D25" s="298"/>
      <c r="E25" s="19"/>
      <c r="F25" s="19"/>
      <c r="G25"/>
      <c r="H25"/>
    </row>
    <row r="26" spans="1:8" ht="18" customHeight="1" x14ac:dyDescent="0.55000000000000004">
      <c r="A26" s="19"/>
      <c r="B26" s="880"/>
      <c r="C26" s="315" t="str" cm="1">
        <f t="array" ref="C26">IF('Program Config'!I2="Ticket",IFERROR(_xlfn.IFS(VLOOKUP('Program Config'!$C$14,'Drop Down Lists'!$B$4:$AO$63,27,FALSE)="This component is not necessary","",'Program Config'!$C$14="n/a","",VLOOKUP('Program Config'!$C$14,'Drop Down Lists'!$B$4:$AO$63,27,FALSE)&lt;&gt;"This component is not necessary",IF('Comms &amp; Tech'!B6&lt;&gt;"",HYPERLINK('Comms &amp; Tech'!B6,_xlfn.CONCAT(UPPER(SUBSTITUTE(Concats!$A$8,"/",""))&amp;"_"&amp;SUBSTITUTE(VLOOKUP('Program Config'!$C$14,'Drop Down Lists'!$B$4:$AO$63,27,FALSE)," ","_")&amp;"_"&amp;SUBSTITUTE(VLOOKUP('Program Config'!$C$14,'Drop Down Lists'!$B$4:$AO$63,24,FALSE)," ","_")&amp;"")),"")),""),"")</f>
        <v/>
      </c>
      <c r="D26" s="298"/>
      <c r="E26" s="19"/>
      <c r="F26" s="19"/>
    </row>
    <row r="27" spans="1:8" ht="18" customHeight="1" x14ac:dyDescent="0.55000000000000004">
      <c r="A27" s="19"/>
      <c r="B27" s="881"/>
      <c r="C27" s="316" t="str" cm="1">
        <f t="array" ref="C27">IF('Program Config'!I2="Ticket",IFERROR(IF('Program Config'!I30&lt;&gt;"",(_xlfn.IFS('Program Config'!H30="Paste Link to Client X.509 File HERE:",HYPERLINK('Program Config'!I30,_xlfn.CONCAT(""&amp;(SUBSTITUTE(UPPER(Concats!$A$8),"/","")&amp;"_X.509_Cert"))),'Program Config'!H30="Paste link to LMS3 ID File HERE:",HYPERLINK('Program Config'!I30,_xlfn.CONCAT(""&amp;(SUBSTITUTE(UPPER(Concats!$A$8),"/","")&amp;"_LMS3_ID_DOC"))),FALSE,"")),""),""),"")</f>
        <v/>
      </c>
      <c r="D27" s="298"/>
      <c r="E27" s="19"/>
      <c r="F27" s="19"/>
    </row>
    <row r="28" spans="1:8" ht="18" customHeight="1" x14ac:dyDescent="0.55000000000000004">
      <c r="A28" s="19"/>
      <c r="B28" s="875" t="str">
        <f>IF('Program Config'!I2&lt;&gt;"Ticket","CL&amp;LI","")</f>
        <v>CL&amp;LI</v>
      </c>
      <c r="C28" s="876"/>
      <c r="D28" s="299"/>
      <c r="E28" s="19"/>
      <c r="F28" s="19"/>
    </row>
    <row r="29" spans="1:8" ht="135" customHeight="1" x14ac:dyDescent="0.55000000000000004">
      <c r="A29" s="19"/>
      <c r="B29" s="877" t="str">
        <f ca="1">IF('Program Config'!I2&lt;&gt;"Ticket",_xlfn.CONCAT(""&amp;('Program Config'!$C$8)&amp;" LATEST:  "&amp;('Program Config'!$C$49)&amp;"
Username: "&amp;('Program Config'!$C$52)&amp;" 
PW: "&amp;('Program Config'!$C$53)&amp;"
"&amp;('Program Config'!$C$8)&amp;" AP: "&amp;('Program Config'!$C$50)&amp;"
Username: "&amp;('Program Config'!$C$52)&amp;"
PW: "&amp;('Program Config'!$C$53)&amp;""),"")</f>
        <v>INTEGRATION_AUTO_SHEET LATEST:  https://www.linkedin.com/in/jo-ann-balsamo
Username: linkedin@PRODUCT4.com 
PW: DemoData2026
INTEGRATION_AUTO_SHEET AP: https://www.linkedin.com/in//linkedin/AM
Username: linkedin@PRODUCT4.com
PW: DemoData2026</v>
      </c>
      <c r="C29" s="878"/>
      <c r="D29" s="290"/>
      <c r="E29" s="19"/>
      <c r="F29" s="19"/>
    </row>
    <row r="30" spans="1:8" ht="18" customHeight="1" x14ac:dyDescent="0.55000000000000004">
      <c r="A30" s="19"/>
      <c r="B30" s="875" t="str">
        <f>IF('Program Config'!I2&lt;&gt;"Ticket","Client Document Links","")</f>
        <v>Client Document Links</v>
      </c>
      <c r="C30" s="876"/>
      <c r="D30" s="299" t="s">
        <v>222</v>
      </c>
      <c r="E30" s="19"/>
      <c r="F30" s="19"/>
    </row>
    <row r="31" spans="1:8" ht="18" customHeight="1" x14ac:dyDescent="0.55000000000000004">
      <c r="A31" s="19"/>
      <c r="B31" s="882" t="str" cm="1">
        <f t="array" ref="B31">IF('Program Config'!H2&lt;&gt;"Ticket",_xlfn.IFS('Program Config'!$H$3=0,"",'Program Config'!$H$3="n/a","n/a",'Program Config'!$H$3&gt;0,HYPERLINK('Program Config'!$H$3,_xlfn.CONCAT(UPPER(SUBSTITUTE(Concats!$A$8,"/",""))&amp;"_AUTO_SHEET"))),"")</f>
        <v>LINKEDIN_AUTO_SHEET</v>
      </c>
      <c r="C31" s="883"/>
      <c r="D31" s="301" t="s">
        <v>223</v>
      </c>
      <c r="E31" s="19" t="str" cm="1">
        <f t="array" ref="E31">IF('Program Config'!H2&lt;&gt;"Ticket",_xlfn.IFS('Program Config'!$H$3=0,"",'Program Config'!$H$3="n/a","n/a",'Program Config'!$H$3&gt;0,HYPERLINK('Program Config'!$H$3,_xlfn.CONCAT(UPPER(SUBSTITUTE(Concats!$A$8,"/",""))&amp;"_AUTO_SHEET"))),"")</f>
        <v>LINKEDIN_AUTO_SHEET</v>
      </c>
      <c r="F31" s="19"/>
    </row>
    <row r="32" spans="1:8" ht="18" customHeight="1" x14ac:dyDescent="0.55000000000000004">
      <c r="A32" s="19"/>
      <c r="B32" s="882" t="str" cm="1">
        <f t="array" ref="B32">IF('Program Config'!H2&lt;&gt;"Ticket",_xlfn.IFS('Web Logo Search &amp; Drop'!$A$6=0,"",'Web Logo Search &amp; Drop'!$A$6="n/a","n/a",'Web Logo Search &amp; Drop'!$A$6&gt;0,HYPERLINK('Web Logo Search &amp; Drop'!A6,'Web Logo Search &amp; Drop'!C3)),"")</f>
        <v/>
      </c>
      <c r="C32" s="883"/>
      <c r="D32" s="301" t="s">
        <v>224</v>
      </c>
      <c r="E32" s="19" t="str" cm="1">
        <f t="array" ref="E32">IF('Program Config'!H2&lt;&gt;"Ticket",_xlfn.IFS('Web Logo Search &amp; Drop'!$A$6=0,"",'Web Logo Search &amp; Drop'!$A$6="n/a","n/a",'Web Logo Search &amp; Drop'!$A$6&gt;0,HYPERLINK('Web Logo Search &amp; Drop'!A6,'Web Logo Search &amp; Drop'!C3)),"")</f>
        <v/>
      </c>
      <c r="F32" s="19"/>
    </row>
    <row r="33" spans="1:8" ht="18" customHeight="1" x14ac:dyDescent="0.55000000000000004">
      <c r="A33" s="19"/>
      <c r="B33" s="871" t="str" cm="1">
        <f t="array" ref="B33">IFERROR(_xlfn.IFS(VLOOKUP('Program Config'!$C$14,'Drop Down Lists'!$B$4:$AO$63,26,FALSE)="This component is not necessary","",'Program Config'!$C$14="n/a","",VLOOKUP('Program Config'!$C$14,'Drop Down Lists'!$B$4:$AO$63,26,FALSE)&lt;&gt;"This component is not necessary",IF('Comms &amp; Tech'!B6&lt;&gt;"",HYPERLINK('Comms &amp; Tech'!B6,VLOOKUP('Program Config'!$C$14,'Drop Down Lists'!$B$4:$AO$63,29,FALSE)&amp;""),"")),"")</f>
        <v/>
      </c>
      <c r="C33" s="872"/>
      <c r="D33" s="301" t="s">
        <v>225</v>
      </c>
      <c r="E33" s="19" t="str" cm="1">
        <f t="array" ref="E33">IFERROR(_xlfn.IFS(VLOOKUP('Program Config'!$C$14,'Drop Down Lists'!$B$4:$AO$63,26,FALSE)="This component is not necessary","",'Program Config'!$C$14="n/a","",VLOOKUP('Program Config'!$C$14,'Drop Down Lists'!$B$4:$AO$63,26,FALSE)&lt;&gt;"This component is not necessary",IF('Comms &amp; Tech'!B6&lt;&gt;"",HYPERLINK('Comms &amp; Tech'!B6,VLOOKUP('Program Config'!$C$14,'Drop Down Lists'!$B$4:$AO$63,29,FALSE)&amp;""),"")),"")</f>
        <v/>
      </c>
      <c r="F33" s="19"/>
      <c r="G33" s="151" t="s">
        <v>648</v>
      </c>
      <c r="H33" s="152" t="str">
        <f>IF('Program Config'!$C$4&lt;&gt;"",HYPERLINK('Program Config'!$C$4,_xlfn.CONCAT(SUBSTITUTE(UPPER(Concats!$A$8),"/",""),"_Data_Source_[DOC1]_Link")),"")</f>
        <v>LINKEDIN_Data_Source_[DOC1]_Link</v>
      </c>
    </row>
    <row r="34" spans="1:8" ht="18" customHeight="1" x14ac:dyDescent="0.55000000000000004">
      <c r="A34" s="19"/>
      <c r="B34" s="884" t="str" cm="1">
        <f t="array" ref="B34">IF('Program Config'!H2&lt;&gt;"Ticket",IFERROR(_xlfn.IFS('Comms &amp; Tech'!$G$9&lt;&gt;"",HYPERLINK('Comms &amp; Tech'!$G$9,'Comms &amp; Tech'!F$9),'Comms &amp; Tech'!$G$14&lt;&gt;"",HYPERLINK('Comms &amp; Tech'!$G$14,'Comms &amp; Tech'!$F$14),'Comms &amp; Tech'!$G$19&lt;&gt;"",HYPERLINK('Comms &amp; Tech'!$G$19,'Comms &amp; Tech'!$F$19),'Comms &amp; Tech'!$G$25&lt;&gt;"",HYPERLINK('Comms &amp; Tech'!$G$25,'Comms &amp; Tech'!F$25)),""),"")</f>
        <v/>
      </c>
      <c r="C34" s="885"/>
      <c r="D34" s="302" t="s">
        <v>226</v>
      </c>
      <c r="E34" s="19" t="str" cm="1">
        <f t="array" ref="E34">IF('Program Config'!H2&lt;&gt;"Ticket",IFERROR(_xlfn.IFS('Comms &amp; Tech'!$G$9&lt;&gt;"",HYPERLINK('Comms &amp; Tech'!$G$9,'Comms &amp; Tech'!F$9),'Comms &amp; Tech'!$G$14&lt;&gt;"",HYPERLINK('Comms &amp; Tech'!$G$14,'Comms &amp; Tech'!$F$14),'Comms &amp; Tech'!$G$19&lt;&gt;"",HYPERLINK('Comms &amp; Tech'!$G$19,'Comms &amp; Tech'!$F$19),'Comms &amp; Tech'!$G$25&lt;&gt;"",HYPERLINK('Comms &amp; Tech'!$G$25,'Comms &amp; Tech'!F$25)),""),"")</f>
        <v/>
      </c>
      <c r="F34" s="19"/>
    </row>
    <row r="35" spans="1:8" ht="18" customHeight="1" x14ac:dyDescent="0.55000000000000004">
      <c r="A35" s="19"/>
      <c r="B35" s="871" t="str" cm="1">
        <f t="array" ref="B35">IF('Program Config'!H2&lt;&gt;"Ticket",IFERROR(IF('Program Config'!H30&lt;&gt;"",(_xlfn.IFS('Program Config'!H30="Paste Link to Client X.509 File HERE:",HYPERLINK('Program Config'!I30,_xlfn.CONCAT(""&amp;(SUBSTITUTE(UPPER(Concats!$A$8),"/","")&amp;"_X.509_Cert"))),'Program Config'!H30="Paste link to LMS3 ID File HERE:",HYPERLINK('Program Config'!I30,_xlfn.CONCAT(""&amp;(SUBSTITUTE(UPPER(Concats!$A$8),"/","")&amp;"_LMS3_ID_DOC"))),FALSE,"")),""),""),"")</f>
        <v/>
      </c>
      <c r="C35" s="872"/>
      <c r="D35" s="301" t="s">
        <v>227</v>
      </c>
      <c r="E35" s="19" t="str" cm="1">
        <f t="array" ref="E35">IF('Program Config'!H2&lt;&gt;"Ticket",IFERROR(IF('Program Config'!H30&lt;&gt;"",(_xlfn.IFS('Program Config'!H30="Paste Link to Client X.509 File HERE:",HYPERLINK('Program Config'!I30,_xlfn.CONCAT(""&amp;(SUBSTITUTE(UPPER(Concats!$A$8),"/","")&amp;"_X.509_Cert"))),'Program Config'!H30="Paste link to LMS3 ID File HERE:",HYPERLINK('Program Config'!I30,_xlfn.CONCAT(""&amp;(SUBSTITUTE(UPPER(Concats!$A$8),"/","")&amp;"_LMS3_ID_DOC"))),FALSE,"")),""),""),"")</f>
        <v/>
      </c>
      <c r="F35" s="19"/>
      <c r="G35" s="890" t="s">
        <v>228</v>
      </c>
      <c r="H35" s="890"/>
    </row>
    <row r="36" spans="1:8" ht="18" customHeight="1" x14ac:dyDescent="0.55000000000000004">
      <c r="A36" s="19"/>
      <c r="B36" s="871" t="str" cm="1">
        <f t="array" ref="B36">IF('Program Config'!H2&lt;&gt;"Ticket",IFERROR(_xlfn.IFS('Comms &amp; Tech'!$N$19&lt;&gt;"",HYPERLINK('Comms &amp; Tech'!$N$19,'Comms &amp; Tech'!N$18),'Comms &amp; Tech'!$B$6&lt;&gt;"","",'Comms &amp; Tech'!$G$25&lt;&gt;"","",'Comms &amp; Tech'!$G$14&lt;&gt;"","",'Comms &amp; Tech'!$G$19&lt;&gt;"",""),""),"")</f>
        <v/>
      </c>
      <c r="C36" s="872"/>
      <c r="D36" s="301" t="s">
        <v>229</v>
      </c>
      <c r="E36" s="19" t="str" cm="1">
        <f t="array" ref="E36">IF('Program Config'!H2&lt;&gt;"Ticket",IFERROR(_xlfn.IFS('Comms &amp; Tech'!$N$19&lt;&gt;"",HYPERLINK('Comms &amp; Tech'!$N$19,'Comms &amp; Tech'!N$18),'Comms &amp; Tech'!$B$6&lt;&gt;"","",'Comms &amp; Tech'!$G$25&lt;&gt;"","",'Comms &amp; Tech'!$G$14&lt;&gt;"","",'Comms &amp; Tech'!$G$19&lt;&gt;"",""),""),"")</f>
        <v/>
      </c>
      <c r="F36" s="19"/>
      <c r="G36" s="147" t="s">
        <v>230</v>
      </c>
      <c r="H36" s="148" t="s">
        <v>231</v>
      </c>
    </row>
    <row r="37" spans="1:8" ht="18" customHeight="1" x14ac:dyDescent="0.55000000000000004">
      <c r="A37" s="19"/>
      <c r="B37" s="882" t="str" cm="1">
        <f t="array" ref="B37">IF('Program Config'!H2&lt;&gt;"Ticket",_xlfn.IFS('Program Config'!$H$4=0,"",'Program Config'!$H$4="n/a","",'Program Config'!$H$4&gt;0,HYPERLINK('Program Config'!$H$4,IFERROR(_xlfn.CONCAT("JSM Ticket "&amp;UPPER(SUBSTITUTE(Concats!$A$8,"/",""))&amp;"_"&amp;(_xlfn.TEXTAFTER('Program Config'!$H$4,"/",4))),'Program Config'!$H$4))),"")</f>
        <v/>
      </c>
      <c r="C37" s="893"/>
      <c r="D37" s="301" t="s">
        <v>232</v>
      </c>
      <c r="E37" s="19" t="str" cm="1">
        <f t="array" ref="E37">IF('Program Config'!H2&lt;&gt;"Ticket",_xlfn.IFS('Program Config'!$H$4=0,"",'Program Config'!$H$4="n/a","",'Program Config'!$H$4&gt;0,HYPERLINK('Program Config'!$H$4,IFERROR(_xlfn.CONCAT("JSM Ticket "&amp;UPPER(SUBSTITUTE(Concats!$A$8,"/",""))&amp;"_"&amp;(_xlfn.TEXTAFTER('Program Config'!$H$4,"/",4))),'Program Config'!$H$4))),"")</f>
        <v/>
      </c>
      <c r="F37" s="19"/>
      <c r="G37" s="150"/>
      <c r="H37" s="150"/>
    </row>
    <row r="38" spans="1:8" ht="18" customHeight="1" x14ac:dyDescent="0.55000000000000004">
      <c r="A38" s="19"/>
      <c r="B38" s="884" t="str">
        <f>IF(G37&lt;&gt;"",HYPERLINK(H37,_xlfn.CONCAT(SUBSTITUTE(UPPER(Concats!$A$8),"/","")&amp;"_"&amp;SUBSTITUTE(G37," ","_"))),"")</f>
        <v/>
      </c>
      <c r="C38" s="885"/>
      <c r="D38" s="301" t="s">
        <v>233</v>
      </c>
      <c r="E38" s="19" t="str">
        <f>IF(G37&lt;&gt;"",HYPERLINK(H37,_xlfn.CONCAT(SUBSTITUTE(UPPER(Concats!$A$8),"/","")&amp;"_"&amp;SUBSTITUTE(G37," ","_"))),"")</f>
        <v/>
      </c>
      <c r="F38" s="19"/>
      <c r="G38" s="150"/>
      <c r="H38" s="150"/>
    </row>
    <row r="39" spans="1:8" ht="18" customHeight="1" x14ac:dyDescent="0.55000000000000004">
      <c r="A39" s="19"/>
      <c r="B39" s="884" t="str">
        <f>IF(G38&lt;&gt;"",HYPERLINK(H38,_xlfn.CONCAT(SUBSTITUTE(UPPER(Concats!$A$8),"/","")&amp;"_"&amp;SUBSTITUTE(G38," ","_"))),"")</f>
        <v/>
      </c>
      <c r="C39" s="885"/>
      <c r="D39" s="301" t="s">
        <v>234</v>
      </c>
      <c r="E39" s="19" t="str">
        <f>IF(G38&lt;&gt;"",HYPERLINK(H38,_xlfn.CONCAT(SUBSTITUTE(UPPER(Concats!$A$8),"/","")&amp;"_"&amp;SUBSTITUTE(G38," ","_"))),"")</f>
        <v/>
      </c>
      <c r="F39" s="19"/>
      <c r="G39" s="150"/>
      <c r="H39" s="150"/>
    </row>
    <row r="40" spans="1:8" ht="18" customHeight="1" x14ac:dyDescent="0.55000000000000004">
      <c r="A40" s="19"/>
      <c r="B40" s="884" t="str">
        <f>IF(G39&lt;&gt;"",HYPERLINK(H39,_xlfn.CONCAT(SUBSTITUTE(UPPER(Concats!$A$8),"/","")&amp;"_"&amp;SUBSTITUTE(G39," ","_"))),"")</f>
        <v/>
      </c>
      <c r="C40" s="885"/>
      <c r="D40" s="301" t="s">
        <v>235</v>
      </c>
      <c r="E40" s="19" t="str">
        <f>IF(G39&lt;&gt;"",HYPERLINK(H39,_xlfn.CONCAT(SUBSTITUTE(UPPER(Concats!$A$8),"/","")&amp;"_"&amp;SUBSTITUTE(G39," ","_"))),"")</f>
        <v/>
      </c>
      <c r="F40" s="19"/>
      <c r="G40" s="150"/>
      <c r="H40" s="150"/>
    </row>
    <row r="41" spans="1:8" ht="18" customHeight="1" thickBot="1" x14ac:dyDescent="0.6">
      <c r="A41" s="19"/>
      <c r="B41" s="888" t="str">
        <f>IF(G40&lt;&gt;"",HYPERLINK(H40,_xlfn.CONCAT(SUBSTITUTE(UPPER(Concats!$A$8),"/","")&amp;"_"&amp;SUBSTITUTE(G40," ","_"))),"")</f>
        <v/>
      </c>
      <c r="C41" s="889"/>
      <c r="D41" s="301" t="s">
        <v>236</v>
      </c>
      <c r="E41" s="19" t="str">
        <f>IF(G40&lt;&gt;"",HYPERLINK(H40,_xlfn.CONCAT(SUBSTITUTE(UPPER(Concats!$A$8),"/","")&amp;"_"&amp;SUBSTITUTE(G40," ","_"))),"")</f>
        <v/>
      </c>
      <c r="F41" s="19"/>
    </row>
    <row r="42" spans="1:8" ht="18" customHeight="1" x14ac:dyDescent="0.55000000000000004">
      <c r="A42" s="197"/>
      <c r="B42" s="197"/>
      <c r="C42" s="197"/>
      <c r="D42" s="197"/>
    </row>
    <row r="43" spans="1:8" ht="15.6" x14ac:dyDescent="0.55000000000000004">
      <c r="B43" s="151" t="s">
        <v>648</v>
      </c>
      <c r="C43" s="152" t="str">
        <f>IF('Program Config'!$C$4&lt;&gt;"",HYPERLINK('Program Config'!$C$4,_xlfn.CONCAT(SUBSTITUTE(UPPER(Concats!$A$8),"/",""),"_Data_Source_[DOC1]_Link")),"")</f>
        <v>LINKEDIN_Data_Source_[DOC1]_Link</v>
      </c>
      <c r="D43" s="300"/>
      <c r="E43" s="18" t="str" cm="1">
        <f t="array" ref="E43">_xlfn._xlws.FILTER(E31:E41,E31:E41&lt;&gt;"")</f>
        <v>LINKEDIN_AUTO_SHEET</v>
      </c>
    </row>
  </sheetData>
  <sheetProtection algorithmName="SHA-512" hashValue="ZaQZ721xEyFoY0N+ttLM0E6g/COYszK/PU937C5SsIJ4LlqwUSHtn/ptUzDWHP4pHs0gpD1OdrDtY1+Rfh+P9A==" saltValue="f9zLf49yTqnXUq6x3Xf96A==" spinCount="100000" sheet="1" objects="1" scenarios="1"/>
  <mergeCells count="20">
    <mergeCell ref="B1:C1"/>
    <mergeCell ref="B36:C36"/>
    <mergeCell ref="B37:C37"/>
    <mergeCell ref="B38:C38"/>
    <mergeCell ref="B39:C39"/>
    <mergeCell ref="B40:C40"/>
    <mergeCell ref="G5:H18"/>
    <mergeCell ref="B41:C41"/>
    <mergeCell ref="G35:H35"/>
    <mergeCell ref="B34:C34"/>
    <mergeCell ref="B30:C30"/>
    <mergeCell ref="B32:C32"/>
    <mergeCell ref="B33:C33"/>
    <mergeCell ref="G4:H4"/>
    <mergeCell ref="B35:C35"/>
    <mergeCell ref="B2:C2"/>
    <mergeCell ref="B28:C28"/>
    <mergeCell ref="B29:C29"/>
    <mergeCell ref="B21:B27"/>
    <mergeCell ref="B31:C31"/>
  </mergeCells>
  <conditionalFormatting sqref="A2:A41 A43:A1048576">
    <cfRule type="cellIs" dxfId="7" priority="4" operator="greaterThan">
      <formula>0</formula>
    </cfRule>
  </conditionalFormatting>
  <conditionalFormatting sqref="C3:D19">
    <cfRule type="cellIs" dxfId="6" priority="3" operator="equal">
      <formula>0</formula>
    </cfRule>
  </conditionalFormatting>
  <conditionalFormatting sqref="E2:F1048576">
    <cfRule type="cellIs" dxfId="5" priority="1" operator="greaterThan">
      <formula>0</formula>
    </cfRule>
  </conditionalFormatting>
  <dataValidations disablePrompts="1" count="1">
    <dataValidation type="list" allowBlank="1" showInputMessage="1" sqref="G36:G39" xr:uid="{742B064F-7924-4516-921C-1A50D0B59BC2}">
      <formula1>"Client Program Preferences Sheet, Client Logo"</formula1>
    </dataValidation>
  </dataValidations>
  <printOptions horizontalCentered="1"/>
  <pageMargins left="0.7" right="0.7" top="0.75" bottom="0.75" header="0.3" footer="0.3"/>
  <pageSetup scale="85"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A3D63-9462-4E0B-9A31-E01B8B832D4A}">
  <sheetPr codeName="Sheet9">
    <tabColor theme="1"/>
  </sheetPr>
  <dimension ref="A1:BL72"/>
  <sheetViews>
    <sheetView zoomScale="90" zoomScaleNormal="90" workbookViewId="0">
      <pane xSplit="2" ySplit="2" topLeftCell="AD3" activePane="bottomRight" state="frozenSplit"/>
      <selection activeCell="F3" sqref="F3"/>
      <selection pane="topRight" activeCell="F3" sqref="F3"/>
      <selection pane="bottomLeft" activeCell="F3" sqref="F3"/>
      <selection pane="bottomRight" activeCell="F3" sqref="F3"/>
    </sheetView>
  </sheetViews>
  <sheetFormatPr defaultColWidth="15.68359375" defaultRowHeight="45" customHeight="1" x14ac:dyDescent="0.55000000000000004"/>
  <cols>
    <col min="1" max="1" width="15.68359375" style="595"/>
    <col min="2" max="3" width="15.68359375" style="15"/>
    <col min="4" max="13" width="15.68359375" style="112"/>
    <col min="14" max="15" width="15.68359375" style="15"/>
    <col min="16" max="16" width="15.68359375" style="15" customWidth="1"/>
    <col min="17" max="17" width="15.68359375" style="15"/>
    <col min="18" max="18" width="15.68359375" style="112"/>
    <col min="19" max="19" width="15.68359375" style="15"/>
    <col min="20" max="21" width="15.68359375" style="112"/>
    <col min="22" max="22" width="15.68359375" style="15"/>
    <col min="23" max="24" width="15.68359375" style="112"/>
    <col min="25" max="25" width="15.68359375" style="15"/>
    <col min="26" max="28" width="15.68359375" style="112"/>
    <col min="29" max="35" width="15.68359375" style="22"/>
    <col min="36" max="38" width="15.68359375" style="596"/>
    <col min="39" max="41" width="15.68359375" style="22"/>
    <col min="42" max="60" width="15.68359375" style="15"/>
    <col min="61" max="61" width="18.68359375" style="15" customWidth="1"/>
    <col min="62" max="63" width="15.68359375" style="592"/>
    <col min="64" max="16384" width="15.68359375" style="15"/>
  </cols>
  <sheetData>
    <row r="1" spans="1:64" s="426" customFormat="1" ht="45" customHeight="1" thickBot="1" x14ac:dyDescent="0.6">
      <c r="A1" s="425" t="s">
        <v>238</v>
      </c>
      <c r="B1" s="426">
        <v>1</v>
      </c>
      <c r="C1" s="427">
        <f>SUM(B1+1)</f>
        <v>2</v>
      </c>
      <c r="D1" s="427">
        <f t="shared" ref="D1:BL1" si="0">SUM(C1+1)</f>
        <v>3</v>
      </c>
      <c r="E1" s="427">
        <f t="shared" si="0"/>
        <v>4</v>
      </c>
      <c r="F1" s="427">
        <f t="shared" si="0"/>
        <v>5</v>
      </c>
      <c r="G1" s="427">
        <f t="shared" si="0"/>
        <v>6</v>
      </c>
      <c r="H1" s="427">
        <f t="shared" si="0"/>
        <v>7</v>
      </c>
      <c r="I1" s="427">
        <f t="shared" si="0"/>
        <v>8</v>
      </c>
      <c r="J1" s="427">
        <f t="shared" si="0"/>
        <v>9</v>
      </c>
      <c r="K1" s="427">
        <f t="shared" si="0"/>
        <v>10</v>
      </c>
      <c r="L1" s="427">
        <f t="shared" si="0"/>
        <v>11</v>
      </c>
      <c r="M1" s="427">
        <f t="shared" si="0"/>
        <v>12</v>
      </c>
      <c r="N1" s="427">
        <f t="shared" si="0"/>
        <v>13</v>
      </c>
      <c r="O1" s="427">
        <f t="shared" si="0"/>
        <v>14</v>
      </c>
      <c r="P1" s="427">
        <f t="shared" si="0"/>
        <v>15</v>
      </c>
      <c r="Q1" s="427">
        <f t="shared" si="0"/>
        <v>16</v>
      </c>
      <c r="R1" s="427">
        <f t="shared" si="0"/>
        <v>17</v>
      </c>
      <c r="S1" s="427">
        <f t="shared" si="0"/>
        <v>18</v>
      </c>
      <c r="T1" s="427">
        <f t="shared" si="0"/>
        <v>19</v>
      </c>
      <c r="U1" s="427">
        <f t="shared" si="0"/>
        <v>20</v>
      </c>
      <c r="V1" s="427">
        <f t="shared" si="0"/>
        <v>21</v>
      </c>
      <c r="W1" s="427">
        <f t="shared" si="0"/>
        <v>22</v>
      </c>
      <c r="X1" s="427">
        <f t="shared" si="0"/>
        <v>23</v>
      </c>
      <c r="Y1" s="427">
        <f t="shared" si="0"/>
        <v>24</v>
      </c>
      <c r="Z1" s="427">
        <f t="shared" si="0"/>
        <v>25</v>
      </c>
      <c r="AA1" s="427">
        <f t="shared" si="0"/>
        <v>26</v>
      </c>
      <c r="AB1" s="427">
        <f t="shared" si="0"/>
        <v>27</v>
      </c>
      <c r="AC1" s="427">
        <f t="shared" si="0"/>
        <v>28</v>
      </c>
      <c r="AD1" s="427">
        <f t="shared" si="0"/>
        <v>29</v>
      </c>
      <c r="AE1" s="427">
        <f t="shared" si="0"/>
        <v>30</v>
      </c>
      <c r="AF1" s="427">
        <f t="shared" si="0"/>
        <v>31</v>
      </c>
      <c r="AG1" s="427">
        <f t="shared" si="0"/>
        <v>32</v>
      </c>
      <c r="AH1" s="427">
        <f t="shared" si="0"/>
        <v>33</v>
      </c>
      <c r="AI1" s="427">
        <f t="shared" si="0"/>
        <v>34</v>
      </c>
      <c r="AJ1" s="427">
        <f t="shared" si="0"/>
        <v>35</v>
      </c>
      <c r="AK1" s="427">
        <f t="shared" si="0"/>
        <v>36</v>
      </c>
      <c r="AL1" s="427">
        <f t="shared" si="0"/>
        <v>37</v>
      </c>
      <c r="AM1" s="427">
        <f t="shared" si="0"/>
        <v>38</v>
      </c>
      <c r="AN1" s="427">
        <f t="shared" si="0"/>
        <v>39</v>
      </c>
      <c r="AO1" s="427">
        <f t="shared" si="0"/>
        <v>40</v>
      </c>
      <c r="AP1" s="427">
        <f t="shared" si="0"/>
        <v>41</v>
      </c>
      <c r="AQ1" s="427">
        <f t="shared" si="0"/>
        <v>42</v>
      </c>
      <c r="AR1" s="427">
        <f t="shared" si="0"/>
        <v>43</v>
      </c>
      <c r="AS1" s="427">
        <f t="shared" si="0"/>
        <v>44</v>
      </c>
      <c r="AT1" s="427">
        <f t="shared" si="0"/>
        <v>45</v>
      </c>
      <c r="AU1" s="427">
        <f t="shared" si="0"/>
        <v>46</v>
      </c>
      <c r="AV1" s="427">
        <f t="shared" si="0"/>
        <v>47</v>
      </c>
      <c r="AW1" s="427">
        <f t="shared" si="0"/>
        <v>48</v>
      </c>
      <c r="AX1" s="427">
        <f t="shared" si="0"/>
        <v>49</v>
      </c>
      <c r="AY1" s="427">
        <f t="shared" si="0"/>
        <v>50</v>
      </c>
      <c r="AZ1" s="427">
        <f t="shared" si="0"/>
        <v>51</v>
      </c>
      <c r="BA1" s="427">
        <f t="shared" si="0"/>
        <v>52</v>
      </c>
      <c r="BB1" s="427">
        <f t="shared" si="0"/>
        <v>53</v>
      </c>
      <c r="BC1" s="427">
        <f t="shared" si="0"/>
        <v>54</v>
      </c>
      <c r="BD1" s="427">
        <f t="shared" si="0"/>
        <v>55</v>
      </c>
      <c r="BE1" s="427">
        <f t="shared" si="0"/>
        <v>56</v>
      </c>
      <c r="BF1" s="427">
        <f t="shared" si="0"/>
        <v>57</v>
      </c>
      <c r="BG1" s="427">
        <f t="shared" si="0"/>
        <v>58</v>
      </c>
      <c r="BH1" s="427">
        <f t="shared" si="0"/>
        <v>59</v>
      </c>
      <c r="BI1" s="427">
        <f t="shared" si="0"/>
        <v>60</v>
      </c>
      <c r="BJ1" s="428">
        <f t="shared" si="0"/>
        <v>61</v>
      </c>
      <c r="BK1" s="428">
        <f t="shared" si="0"/>
        <v>62</v>
      </c>
      <c r="BL1" s="427">
        <f t="shared" si="0"/>
        <v>63</v>
      </c>
    </row>
    <row r="2" spans="1:64" s="453" customFormat="1" ht="45" customHeight="1" thickBot="1" x14ac:dyDescent="0.6">
      <c r="A2" s="429" t="s">
        <v>239</v>
      </c>
      <c r="B2" s="430" t="s">
        <v>240</v>
      </c>
      <c r="C2" s="430" t="s">
        <v>800</v>
      </c>
      <c r="D2" s="431" t="s">
        <v>738</v>
      </c>
      <c r="E2" s="432" t="s">
        <v>739</v>
      </c>
      <c r="F2" s="431" t="s">
        <v>724</v>
      </c>
      <c r="G2" s="432" t="s">
        <v>725</v>
      </c>
      <c r="H2" s="433" t="s">
        <v>758</v>
      </c>
      <c r="I2" s="432" t="s">
        <v>759</v>
      </c>
      <c r="J2" s="433" t="s">
        <v>740</v>
      </c>
      <c r="K2" s="432" t="s">
        <v>741</v>
      </c>
      <c r="L2" s="431" t="s">
        <v>241</v>
      </c>
      <c r="M2" s="432" t="s">
        <v>242</v>
      </c>
      <c r="N2" s="434" t="s">
        <v>801</v>
      </c>
      <c r="O2" s="431" t="s">
        <v>738</v>
      </c>
      <c r="P2" s="432" t="s">
        <v>739</v>
      </c>
      <c r="Q2" s="433" t="s">
        <v>761</v>
      </c>
      <c r="R2" s="432" t="s">
        <v>762</v>
      </c>
      <c r="S2" s="433" t="s">
        <v>901</v>
      </c>
      <c r="T2" s="435" t="s">
        <v>902</v>
      </c>
      <c r="U2" s="436" t="s">
        <v>903</v>
      </c>
      <c r="V2" s="431" t="s">
        <v>766</v>
      </c>
      <c r="W2" s="432" t="s">
        <v>767</v>
      </c>
      <c r="X2" s="436" t="s">
        <v>768</v>
      </c>
      <c r="Y2" s="431" t="s">
        <v>243</v>
      </c>
      <c r="Z2" s="432" t="s">
        <v>587</v>
      </c>
      <c r="AA2" s="436" t="s">
        <v>586</v>
      </c>
      <c r="AB2" s="437" t="s">
        <v>244</v>
      </c>
      <c r="AC2" s="437" t="s">
        <v>245</v>
      </c>
      <c r="AD2" s="438" t="s">
        <v>246</v>
      </c>
      <c r="AE2" s="438" t="s">
        <v>247</v>
      </c>
      <c r="AF2" s="438" t="s">
        <v>742</v>
      </c>
      <c r="AG2" s="438" t="s">
        <v>920</v>
      </c>
      <c r="AH2" s="438" t="s">
        <v>921</v>
      </c>
      <c r="AI2" s="438" t="s">
        <v>922</v>
      </c>
      <c r="AJ2" s="438" t="s">
        <v>923</v>
      </c>
      <c r="AK2" s="439"/>
      <c r="AL2" s="439"/>
      <c r="AM2" s="440" t="s">
        <v>924</v>
      </c>
      <c r="AN2" s="437" t="s">
        <v>882</v>
      </c>
      <c r="AO2" s="439" t="s">
        <v>769</v>
      </c>
      <c r="AP2" s="441" t="s">
        <v>248</v>
      </c>
      <c r="AQ2" s="442" t="s">
        <v>249</v>
      </c>
      <c r="AR2" s="443" t="s">
        <v>250</v>
      </c>
      <c r="AS2" s="444" t="s">
        <v>251</v>
      </c>
      <c r="AT2" s="445" t="s">
        <v>252</v>
      </c>
      <c r="AU2" s="446" t="s">
        <v>253</v>
      </c>
      <c r="AV2" s="447">
        <f>IFERROR(IF(AND('Program Config'!$H$1&lt;&gt;"",VLOOKUP('Program Config'!$H$1,'Drop Down Lists'!$AU$3:$AV$11,2,FALSE)&lt;&gt;""),VLOOKUP('Program Config'!$H$1,'Drop Down Lists'!$AU$3:$AV$11,2,FALSE),""),"")</f>
        <v>16</v>
      </c>
      <c r="AW2" s="448" t="s">
        <v>254</v>
      </c>
      <c r="AX2" s="449" t="s">
        <v>255</v>
      </c>
      <c r="AY2" s="450" t="s">
        <v>698</v>
      </c>
      <c r="AZ2" s="451" t="s">
        <v>256</v>
      </c>
      <c r="BA2" s="451" t="s">
        <v>925</v>
      </c>
      <c r="BB2" s="451" t="s">
        <v>257</v>
      </c>
      <c r="BC2" s="452" t="s">
        <v>926</v>
      </c>
      <c r="BD2" s="894" t="s">
        <v>638</v>
      </c>
      <c r="BE2" s="894"/>
      <c r="BF2" s="894"/>
      <c r="BG2" s="894"/>
      <c r="BH2" s="895"/>
      <c r="BJ2" s="454" t="s">
        <v>258</v>
      </c>
      <c r="BK2" s="454" t="s">
        <v>259</v>
      </c>
    </row>
    <row r="3" spans="1:64" ht="45" customHeight="1" thickTop="1" thickBot="1" x14ac:dyDescent="0.6">
      <c r="A3" s="455"/>
      <c r="B3" s="456" t="s">
        <v>829</v>
      </c>
      <c r="C3" s="457" t="s">
        <v>260</v>
      </c>
      <c r="D3" s="458" t="s">
        <v>260</v>
      </c>
      <c r="E3" s="459" t="s">
        <v>260</v>
      </c>
      <c r="F3" s="458" t="s">
        <v>260</v>
      </c>
      <c r="G3" s="459" t="s">
        <v>260</v>
      </c>
      <c r="H3" s="460" t="s">
        <v>260</v>
      </c>
      <c r="I3" s="459" t="s">
        <v>260</v>
      </c>
      <c r="J3" s="460" t="s">
        <v>260</v>
      </c>
      <c r="K3" s="459" t="s">
        <v>260</v>
      </c>
      <c r="L3" s="458" t="s">
        <v>260</v>
      </c>
      <c r="M3" s="459" t="s">
        <v>260</v>
      </c>
      <c r="N3" s="461" t="s">
        <v>260</v>
      </c>
      <c r="O3" s="458" t="s">
        <v>260</v>
      </c>
      <c r="P3" s="459" t="s">
        <v>260</v>
      </c>
      <c r="Q3" s="460" t="s">
        <v>260</v>
      </c>
      <c r="R3" s="459" t="s">
        <v>260</v>
      </c>
      <c r="S3" s="460" t="s">
        <v>260</v>
      </c>
      <c r="T3" s="462" t="s">
        <v>260</v>
      </c>
      <c r="U3" s="463" t="s">
        <v>260</v>
      </c>
      <c r="V3" s="458" t="s">
        <v>260</v>
      </c>
      <c r="W3" s="464" t="s">
        <v>260</v>
      </c>
      <c r="X3" s="459" t="s">
        <v>260</v>
      </c>
      <c r="Y3" s="458" t="s">
        <v>260</v>
      </c>
      <c r="Z3" s="459" t="s">
        <v>260</v>
      </c>
      <c r="AA3" s="459" t="s">
        <v>260</v>
      </c>
      <c r="AB3" s="465" t="s">
        <v>261</v>
      </c>
      <c r="AC3" s="466" t="str">
        <f>_xlfn.CONCAT(""&amp;(Concats!$J$2)&amp;"
"&amp;(Concats!$J$3)&amp;"
"&amp;(Concats!$J$4)&amp;"
"&amp;(Concats!$J$5)&amp;"
"&amp;(Concats!$J$6)&amp;"
"&amp;(Concats!$J$11)&amp;"")</f>
        <v>Adding Service Provider Details (#5 in LMS10 Application DemoData727e):
 -=- Service Provider Details -=-
•             SSO (ACS) URL:  https://www.linkedin.com/in/jo-ann-balsamoNONCE-nonce-NONCE2-nonce3-nonce
•             Entity ID (the same as the SSO URL):  https://www.linkedin.com/in/jo-ann-balsamoNONCE-nonce-NONCE2-nonce3-nonce
•             Start URL:  Leave Blank
•             Signed Response:  Checked
•             Name ID:  Basic Information, Primary Type1
•             Name ID Format:  Type1 (typically but uGENINTEGRATIONmately your choice as to this format)
-=- Attribute Mappings (please note that these "App Attributes" are case-sensitive) -=-
•             Primary Type1 -&gt; Type1
•             First Name -&gt; FirstName
•             Last Name -&gt; LastName
•             Department -&gt; custom_ap</v>
      </c>
      <c r="AD3" s="467" t="str">
        <f>_xlfn.CONCAT(UPPER(SUBSTITUTE(Concats!$A$8,"/","")))&amp;"-Adding Services Provider details"&amp;""</f>
        <v>LINKEDIN-Adding Services Provider details</v>
      </c>
      <c r="AE3" s="468" t="s">
        <v>830</v>
      </c>
      <c r="AF3" s="467" t="str">
        <f>Concats!$J$27</f>
        <v>These components are not necessary</v>
      </c>
      <c r="AG3" s="467" t="str">
        <f>_xlfn.CONCAT(""&amp;(Concats!$J$30)&amp;"")</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AH3" s="467" t="str">
        <f>_xlfn.CONCAT(""&amp;(Concats!$J$33)&amp;"
"&amp;(Concats!$J$34)&amp;"")</f>
        <v>DRAFT
Attach: XML + JLB Logo + JLB GENINTEGRATION Integration Workflow
Subject: DEMO / DemoData.com GENINTEGRATION Implementation
TO: w.barnes@demodata.com; t.navarro@demodata.com; n.reed@demodata.com
CC:  leah.adler@FakeDemoData.com; gavin.park@FakeDemoData.com; m.chen@demodata.com
BCC: victoria.lane@FakeDemoData.com
Good Morning,
It was great to meet everybody on the call today!  This Type1 contains the information you will need to connect with DemoData.com through a GENINTEGRATION integration. 
To configure your DemoData.com site, we’ll first need a copy of your X.yxyz certificate or your metadata.  Please send that at your earliest convenience so that we can attach it to your custom DemoData.com site for students to access through the GENINTEGRATION integration. The GENINTEGRATION connection would be an Identify Provider-Initiated SSO, where</v>
      </c>
      <c r="AI3" s="468" t="s">
        <v>927</v>
      </c>
      <c r="AJ3" s="469" t="s">
        <v>610</v>
      </c>
      <c r="AK3" s="470"/>
      <c r="AL3" s="470"/>
      <c r="AM3" s="471" t="str">
        <f>_xlfn.CONCAT(""&amp;(Concats!$J$46)&amp;"
"&amp;(Concats!$J$47)&amp;"")</f>
        <v>DRAFT
Attach: Program Preferences Sheet
Subject: DEMO / Program Preferences Sheet
TO: w.barnes@demodata.com; t.navarro@demodata.com; n.reed@demodata.com
CC:  leah.adler@FakeDemoData.com; gavin.park@FakeDemoData.com; m.chen@demodata.com
BCC: victoria.lane@FakeDemoData.com
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AN3" s="472" t="str">
        <f>_xlfn.CONCAT(""&amp;(Concats!$J$49)&amp;"")</f>
        <v>DEMO LATEST:  https://www.linkedin.com/in/jo-ann-balsamo
Username: linkedin@PRODUCT4.com 
PW: DemoData2026</v>
      </c>
      <c r="AO3" s="473" t="str">
        <f>_xlfn.CONCAT(""&amp;(Concats!$J$51)&amp;"")</f>
        <v>DEMO AP: https://www.linkedin.com/in//linkedin/AM
Username: linkedin@PRODUCT4.com
PW: DemoData2026</v>
      </c>
      <c r="AP3" s="474" t="str">
        <f t="shared" ref="AP3:AP34" si="1">_xlfn.CONCAT(""&amp;(AQ3)&amp;" ("&amp;AR3&amp;")")</f>
        <v>Alabama (AL)</v>
      </c>
      <c r="AQ3" s="475" t="s">
        <v>262</v>
      </c>
      <c r="AR3" s="476" t="s">
        <v>263</v>
      </c>
      <c r="AS3" s="477" t="s">
        <v>264</v>
      </c>
      <c r="AT3" s="478" t="s">
        <v>265</v>
      </c>
      <c r="AU3" s="479" t="s">
        <v>637</v>
      </c>
      <c r="AV3" s="480">
        <v>16</v>
      </c>
      <c r="AW3" s="481" t="s">
        <v>266</v>
      </c>
      <c r="AX3" s="482" t="s">
        <v>267</v>
      </c>
      <c r="AY3" s="483" t="s">
        <v>616</v>
      </c>
      <c r="AZ3" s="484" t="s">
        <v>205</v>
      </c>
      <c r="BA3" s="485" t="s">
        <v>610</v>
      </c>
      <c r="BB3" s="485" t="s">
        <v>617</v>
      </c>
      <c r="BC3" s="486" t="str">
        <f>_xlfn.CONCAT(""&amp;(Concats!$B$74)&amp;"
"&amp;(Concats!$B$75)&amp;"
"&amp;(Concats!$B$76)&amp;"
"&amp;(Concats!$B$77)&amp;"
"&amp;(Concats!$B$78)&amp;"
"&amp;(Concats!$B$79)&amp;"
"&amp;(Concats!$B$80)&amp;"
"&amp;(Concats!$B$81)&amp;"
"&amp;(Concats!$B$82)&amp;"")</f>
        <v>DRAFT
Attach: Client DemoData727es - LMS3 Rostering (PDF)
Subject: DEMO / DemoData.com LMS3 Rostering
TO: w.barnes@demodata.com; t.navarro@demodata.com; n.reed@demodata.com
CC:  leah.adler@FakeDemoData.com; gavin.park@FakeDemoData.com; m.chen@demodata.com
BCC: victoria.lane@FakeDemoData.com
Good Morning,
I am excited to partner with the DEMO team to set up LMS3 Rostering with DemoData.com.
I’d like to confirm the current set up of your program and go over the initial steps for LMS3 Rostering.  I have also included some information regarding the rostering workflow and required data pieces in the attachment above. Currently, I understand your DemoData.com program is accessed through a LMS1 - GENINTEGRATION 31 Link &amp; Course NAV connection.  To roster with DemoData.com, we need to verify and then connect via your LMS3 District ID.  Doing so will NOT impact the connection/access point your students/staff are currently using. Can you please confirm that the LMS3 District ID shown below is the correct one for your school district?  Once verified, I will send an invite and sharing recommendations via LMS3 that will both need to be accepted.
****Insert LMS3 District ID Screenshot here****
Once connected in LMS3, we will be able to initiate LMS3 Rostering in our Stage environment and start the data verification process.  During the data verification, we will review what LMS3 is sending us in the rostering files and compare it to what we are receiving from your current connection/access point to make sure it matches.  This will not have an impact on or disrupt the current integration methods.  
An important aspect of the verification process is specific to the username formats received in the roster files. In order to maintain data continuity, the username that we receive from the LMS3 will need to match the username format that is being passed from the current LMS1 - GENINTEGRATION 31 Link &amp; Course NAV integration.
From an initial review of your data, it appears that DEMO is passing the user's ***INSERT FORMAT AND/OR DESCRIPTION OF USERNAME BEING PASSED*** as the username - please see the screenshot below for reference.
***Insert Screenshot of Client's Usernames from SQL Query***
If you are ready to move forward, please notify me so that I send the sharing invite and recommendations in LMS3.  Once both are accepted, I will initiate LMS3 Rostering process in our Stage environment.  After the Stage environment data verification is complete, we will be able to initiate rostering in PRODUCTION for your program.  
Please let me know if you have any questions along the way.  I’m also available to jump on a Teams call to discuss the process if you would prefer.
Thank you,</v>
      </c>
      <c r="BD3" s="896" t="str">
        <f>_xlfn.CONCAT(""&amp;(Concats!B53)&amp;"
"&amp;(Concats!$B54)&amp;""&amp;(Concats!$B55)&amp;""&amp;(Concats!$B56)&amp;"
"&amp;(Concats!$B57)&amp;"")</f>
        <v xml:space="preserve">DRAFT
Attach: DemoData.com Tech Setup DemoData727e
Subject: DEMO / DemoData.com Whitelist Request
TO: w.barnes@demodata.com; t.navarro@demodata.com; n.reed@demodata.com
CC:  leah.adler@FakeDemoData.com; gavin.park@FakeDemoData.com; m.chen@demodata.com
BCC: victoria.lane@FakeDemoData.com
Good Morning,
Client specific Demodata information. 
. DemoData information about services.
Please see the chart below which outlines the parameters to successfully configure the tool. 
Feel free to forward this request to your IT department and reply to this Type1 when this has been completed.  </v>
      </c>
      <c r="BE3" s="896"/>
      <c r="BF3" s="896"/>
      <c r="BG3" s="896"/>
      <c r="BH3" s="896"/>
      <c r="BI3" s="264" t="str">
        <f>_xlfn.CONCAT(""&amp;(BJ3)&amp;"  |  "&amp;(BK3)&amp;"")</f>
        <v>a  |  A</v>
      </c>
      <c r="BJ3" s="487" t="s">
        <v>162</v>
      </c>
      <c r="BK3" s="487" t="str">
        <f t="shared" ref="BK3:BK37" si="2">UPPER(BJ3)</f>
        <v>A</v>
      </c>
    </row>
    <row r="4" spans="1:64" ht="45" customHeight="1" x14ac:dyDescent="0.55000000000000004">
      <c r="A4" s="488" t="s">
        <v>268</v>
      </c>
      <c r="B4" s="489" t="s">
        <v>870</v>
      </c>
      <c r="C4" s="490" t="s">
        <v>871</v>
      </c>
      <c r="D4" s="491" t="s">
        <v>743</v>
      </c>
      <c r="E4" s="459" t="str">
        <f>IF('Program Config'!$C$30&lt;&gt;"",'Program Config'!$C$30,"This component has not been configured yet")</f>
        <v>Nonce7</v>
      </c>
      <c r="F4" s="491" t="s">
        <v>726</v>
      </c>
      <c r="G4" s="459" t="str">
        <f>IF('Program Config'!$C$31&lt;&gt;"",'Program Config'!$C$31,"This component has not been configured yet")</f>
        <v>Nocne8</v>
      </c>
      <c r="H4" s="492" t="s">
        <v>260</v>
      </c>
      <c r="I4" s="493" t="s">
        <v>260</v>
      </c>
      <c r="J4" s="492" t="s">
        <v>260</v>
      </c>
      <c r="K4" s="493" t="s">
        <v>260</v>
      </c>
      <c r="L4" s="491" t="s">
        <v>260</v>
      </c>
      <c r="M4" s="493" t="s">
        <v>260</v>
      </c>
      <c r="N4" s="494" t="s">
        <v>872</v>
      </c>
      <c r="O4" s="491" t="s">
        <v>743</v>
      </c>
      <c r="P4" s="493" t="str">
        <f>IF('Program Config'!$C$30&lt;&gt;"",'Program Config'!$C$30,"This component has not been configured yet")</f>
        <v>Nonce7</v>
      </c>
      <c r="Q4" s="492" t="s">
        <v>726</v>
      </c>
      <c r="R4" s="493" t="str">
        <f>IF('Program Config'!$C$31&lt;&gt;"",'Program Config'!$C$31,"This component has not been configured yet")</f>
        <v>Nocne8</v>
      </c>
      <c r="S4" s="495" t="str">
        <f>IF('Program Config'!$J$1="LEGACY","LEGACY GENINTEGRATION 22 EP", "LATEST GENINTEGRATION 22 EP")</f>
        <v>LATEST GENINTEGRATION 22 EP</v>
      </c>
      <c r="T4" s="496" t="s">
        <v>610</v>
      </c>
      <c r="U4" s="497" t="s">
        <v>610</v>
      </c>
      <c r="V4" s="491" t="s">
        <v>260</v>
      </c>
      <c r="W4" s="498" t="s">
        <v>260</v>
      </c>
      <c r="X4" s="493" t="s">
        <v>260</v>
      </c>
      <c r="Y4" s="491" t="s">
        <v>260</v>
      </c>
      <c r="Z4" s="493" t="s">
        <v>260</v>
      </c>
      <c r="AA4" s="493" t="s">
        <v>260</v>
      </c>
      <c r="AB4" s="499" t="s">
        <v>261</v>
      </c>
      <c r="AC4" s="466" t="str">
        <f>_xlfn.CONCAT("-=- Register Provider Domain Parameters -=-
"&amp;(Concats!$F$3)&amp;"
"&amp;(Concats!$F$4)&amp;"
"&amp;(Concats!$F$5)&amp;"")</f>
        <v>-=- Register Provider Domain Parameters -=-
GENINTEGRATION Version (if required):  22
Provider Domain:  api.DemoData3.com
Default Configuration:  Set Globally
Security Settings:  Send over SSL, send all user information (required for reports)
DemoData27:   Nonce7
DemoData72:  Nocne8
Allow Membership Service Access:  No
Show User Acknowledgment:  No
-=- Create Placement -=-
Tool Provider URL:   https://www.linkedin.com/in/jo-ann-balsamo/
Type:  Usually a "Course Tool" for students but sometimes a "System Tool"
Launch in New Window:  Checked</v>
      </c>
      <c r="AD4" s="467" t="str">
        <f>_xlfn.CONCAT(UPPER(SUBSTITUTE(Concats!$A$8,"/","")))&amp;"_JLB_GENINTEGRATION_parameters_BB"&amp;""</f>
        <v>LINKEDIN_JLB_GENINTEGRATION_parameters_BB</v>
      </c>
      <c r="AE4" s="468" t="s">
        <v>802</v>
      </c>
      <c r="AF4" s="467" t="str">
        <f>Concats!$F$27</f>
        <v xml:space="preserve">DemoData27:  Nonce7
DemoData72:  Nocne8
URL:  https://www.linkedin.com/in/jo-ann-balsamo/ </v>
      </c>
      <c r="AG4" s="467" t="str">
        <f>_xlfn.CONCAT(""&amp;(Concats!$F$30)&amp;"")</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AH4" s="467" t="str">
        <f>_xlfn.CONCAT(""&amp;(Concats!$F$33)&amp;"
"&amp;(Concats!$F$34)&amp;"
"&amp;(Concats!$F$35)&amp;"  "&amp;(HYPERLINK(_xlfn.CONCAT(Concats!$G$36),(Concats!$F$36)))&amp;"
"&amp;(Concats!$F$37)&amp;"
"&amp;(Concats!$F$38)&amp;"")</f>
        <v>DRAFT
Attach: XML + LM7 Client DemoData727e
Subject: DEMO / DemoData.com LM7 Integration
CC: leah.adler@FakeDemoData.com; gavin.park@FakeDemoData.com
TO: w.barnes@demodata.com; t.navarro@demodata.com; n.reed@demodata.com
CC:  leah.adler@FakeDemoData.com; gavin.park@FakeDemoData.com; m.chen@demodata.com
BCC: victoria.lane@FakeDemoData.com
Good Morning,
Thank you, in advance, for your efforts helping us to integrate DemoData.com as an GENINTEGRATION 22 tool link into your LM7 learning management system.
Below are the parameters (including the GENINTEGRATION DemoData27, DemoData72, and Launch URL for your school’s customized DemoData.com program) that you'll need to setup access to DemoData.com as an GENINTEGRATION external tool in LM7 courses.   
If you need more information than this or else would like me to walk through this with you, let me know and we’ll coordinate.  I’ve also included a helpful link on GENINTEGRATION integration with LM7 if you would like to review it – please   Click HERE.
DemoData27:  Nonce7
DemoData72:  Nocne8
URL:  https://www.linkedin.com/in/jo-ann-balsamo/ 
Please let me know when you’ve been able to test-launch it. I’ll need to look at our logs and make sure that we map the right fields for course and user IDs. 
Thank you,</v>
      </c>
      <c r="AI4" s="500" t="s">
        <v>928</v>
      </c>
      <c r="AJ4" s="469" t="s">
        <v>610</v>
      </c>
      <c r="AK4" s="470"/>
      <c r="AL4" s="470"/>
      <c r="AM4" s="471" t="str">
        <f>_xlfn.CONCAT(""&amp;(Concats!$F$46)&amp;"
"&amp;(Concats!$F$47)&amp;"")</f>
        <v>DRAFT
Attach: Program Preferences Sheet
Subject: DEMO / Program Preferences Sheet
TO: w.barnes@demodata.com; t.navarro@demodata.com; n.reed@demodata.com
CC:  leah.adler@FakeDemoData.com; gavin.park@FakeDemoData.com; m.chen@demodata.com
BCC: victoria.lane@FakeDemoData.com
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AN4" s="472" t="str">
        <f>_xlfn.CONCAT(""&amp;(Concats!$F$49)&amp;"")</f>
        <v>DEMO LATEST:  https://www.linkedin.com/in/jo-ann-balsamo
Username: linkedin@PRODUCT4.com 
PW: DemoData2026</v>
      </c>
      <c r="AO4" s="473" t="str">
        <f>_xlfn.CONCAT(""&amp;(Concats!$F$51)&amp;"")</f>
        <v>DEMO AP: https://www.linkedin.com/in//linkedin/AM
Username: linkedin@PRODUCT4.com
PW: DemoData2026</v>
      </c>
      <c r="AP4" s="474" t="str">
        <f t="shared" si="1"/>
        <v>Alaska (AK)</v>
      </c>
      <c r="AQ4" s="475" t="s">
        <v>269</v>
      </c>
      <c r="AR4" s="476" t="s">
        <v>270</v>
      </c>
      <c r="AS4" s="477" t="s">
        <v>27</v>
      </c>
      <c r="AT4" s="478" t="s">
        <v>594</v>
      </c>
      <c r="AU4" s="479" t="s">
        <v>639</v>
      </c>
      <c r="AV4" s="501">
        <v>16</v>
      </c>
      <c r="AW4" s="502" t="s">
        <v>283</v>
      </c>
      <c r="AX4" s="503" t="s">
        <v>271</v>
      </c>
      <c r="AY4" s="504" t="s">
        <v>699</v>
      </c>
      <c r="AZ4" s="505" t="s">
        <v>205</v>
      </c>
      <c r="BA4" s="506" t="s">
        <v>610</v>
      </c>
      <c r="BB4" s="506" t="s">
        <v>618</v>
      </c>
      <c r="BC4" s="486" t="str">
        <f>_xlfn.CONCAT(""&amp;(Concats!$C$74)&amp;"
"&amp;(Concats!$C$75)&amp;"
"&amp;(Concats!$C$76)&amp;"
"&amp;(Concats!$C$77)&amp;"
"&amp;(Concats!$C$78)&amp;"
"&amp;(Concats!$C$79)&amp;"
"&amp;(Concats!$C$80)&amp;"
"&amp;(Concats!$C$81)&amp;"
"&amp;(Concats!$C$82)&amp;"")</f>
        <v>DRAFT
Attach: Client DemoData727es - LMS3 Rostering (PDF)
Subject: DEMO / DemoData.com LMS3 Rostering + PROD7
TO: w.barnes@demodata.com; t.navarro@demodata.com; n.reed@demodata.com
CC:  leah.adler@FakeDemoData.com; gavin.park@FakeDemoData.com; m.chen@demodata.com
BCC: victoria.lane@FakeDemoData.com
Good Morning,
I am excited to partner with the DEMO team to set up LMS3 Rostering with the DemoData.com Teacher Dashboard.
I’d like to confirm the current set up of your program and go over the initial steps for LMS3 Rostering.  I have also included some information regarding the rostering workflow and required data pieces in the attachment above. Currently, I understand your DemoData.com program is accessed through a LMS1 - GENINTEGRATION 31 Link &amp; Course NAV connection.  To roster with DemoData.com, we need to verify and then connect via your LMS3 District ID.  Doing so will NOT impact the connection/access point your students/staff are currently using. Can you please confirm that the LMS3 District ID shown below is the correct one for your school district?  Once verified, I will send an invite and sharing recommendations via LMS3 that will both need to be accepted.
****Insert LMS3 District ID Screenshot here****
Once connected in LMS3, we will be able to initiate LMS3 Rostering in our Stage environment and start the data verification process.  During the data verification, we will review what LMS3 is sending us in the rostering files and compare it to what we are receiving from your current connection/access point to make sure it matches.  This will not have an impact on or disrupt the current integration methods.  
An important aspect of the verification process is specific to the username formats received in the roster files. In order to maintain data continuity, the username that we receive from the LMS3 will need to match the username format that is being passed from the current LMS1 - GENINTEGRATION 31 Link &amp; Course NAV integration.
From an initial review of your data, it appears that DEMO is passing the user's ***INSERT FORMAT AND/OR DESCRIPTION OF USERNAME BEING PASSED*** as the username - please see the screenshot below for reference.
***Insert Screenshot of Client's Usernames from SQL Query***
If you are ready to move forward, please notify me so that I send the sharing invite and recommendations in LMS3.  Once both are accepted, I will initiate LMS3 Rostering process in our Stage environment.  After the Stage environment data verification is complete, we will be able to initiate rostering in PRODUCTION for your program.  
Please let me know if you have any questions along the way.  I’m also available to jump on a Teams call to discuss the process if you would prefer.
Thank you,</v>
      </c>
      <c r="BE4" s="101" t="str">
        <f>_xlfn.CONCAT(""&amp;(Concats!B58)&amp;"")</f>
        <v>Demodata89</v>
      </c>
      <c r="BF4" s="101" t="str">
        <f>_xlfn.CONCAT(""&amp;(Concats!B62)&amp;"")</f>
        <v>Process</v>
      </c>
      <c r="BG4" s="101" t="str">
        <f>_xlfn.CONCAT(""&amp;(Concats!B67)&amp;"")</f>
        <v>Demodata89</v>
      </c>
      <c r="BI4" s="264" t="str">
        <f t="shared" ref="BI4:BI53" si="3">_xlfn.CONCAT(""&amp;(BJ4)&amp;"  |  "&amp;(BK4)&amp;"")</f>
        <v>b  |  B</v>
      </c>
      <c r="BJ4" s="507" t="s">
        <v>164</v>
      </c>
      <c r="BK4" s="487" t="str">
        <f t="shared" si="2"/>
        <v>B</v>
      </c>
    </row>
    <row r="5" spans="1:64" ht="45" customHeight="1" thickBot="1" x14ac:dyDescent="0.6">
      <c r="A5" s="508" t="s">
        <v>272</v>
      </c>
      <c r="B5" s="456" t="s">
        <v>850</v>
      </c>
      <c r="C5" s="509" t="s">
        <v>851</v>
      </c>
      <c r="D5" s="510" t="s">
        <v>852</v>
      </c>
      <c r="E5" s="511" t="s">
        <v>610</v>
      </c>
      <c r="F5" s="510" t="s">
        <v>763</v>
      </c>
      <c r="G5" s="511" t="str" cm="1">
        <f t="array" ref="G5">(_xlfn.IFS('Program Config'!$N$30=0,"This component requires the LM7 Application ID",'Program Config'!$N$30="n/a","",'Program Config'!$N$30&gt;0,'Program Config'!$N$30))</f>
        <v>This component requires the LM7 Application ID</v>
      </c>
      <c r="H5" s="512" t="s">
        <v>904</v>
      </c>
      <c r="I5" s="511" t="s">
        <v>610</v>
      </c>
      <c r="J5" s="512" t="s">
        <v>744</v>
      </c>
      <c r="K5" s="511" t="str" cm="1">
        <f t="array" ref="K5">(_xlfn.IFS('Program Config'!$N$30=0,"This component requires the LMS7 Application ID",'Program Config'!$N$30="n/a","",'Program Config'!$N$30&gt;0,IFERROR(_xlfn.CONCAT("https://www.linkedin.com/in/jo-ann-balsamo"&amp;('Program Config'!$N$30)&amp;"/jwks.json"),"This component requires the LMS7 Application ID")))</f>
        <v>This component requires the LMS7 Application ID</v>
      </c>
      <c r="L5" s="510" t="s">
        <v>273</v>
      </c>
      <c r="M5" s="511" t="s">
        <v>274</v>
      </c>
      <c r="N5" s="513" t="s">
        <v>853</v>
      </c>
      <c r="O5" s="510" t="s">
        <v>275</v>
      </c>
      <c r="P5" s="511" t="str">
        <f>IF('Program Config'!$C$34="n/a","n/a",IF(AND('Program Config'!$C$34&lt;&gt;"",'Program Config'!$C$28&lt;&gt;""),_xlfn.CONCAT("https://www.linkedin.com/in/jo-ann-balsamo"&amp;(SUBSTITUTE('Program Config'!$C$34,"https://www.linkedin.com/in/jo-ann-balsamo",""))&amp;"/"&amp;('Program Config'!$C$28)&amp;""),"This component requires the DemoData3 Client URL &amp; the Program DemoData727"))</f>
        <v>https://www.linkedin.com/in/jo-ann-balsamo//NONCE-nonce-NONCE2-nonce3-nonce</v>
      </c>
      <c r="Q5" s="512" t="s">
        <v>764</v>
      </c>
      <c r="R5" s="511" t="str">
        <f>IF('Program Config'!G44&lt;&gt;"","This component will be configured by DemoData3","This component will be configured by DemoData3")</f>
        <v>This component will be configured by DemoData3</v>
      </c>
      <c r="S5" s="512" t="s">
        <v>273</v>
      </c>
      <c r="T5" s="514" t="str">
        <f>IF('Program Config'!G45&lt;&gt;"","This component will be configured by DemoData3","This component will be configured by DemoData3")</f>
        <v>This component will be configured by DemoData3</v>
      </c>
      <c r="U5" s="515" t="str">
        <f>IF('Program Config'!H45&lt;&gt;"","This component will be configured by DemoData3","This component will be configured by DemoData3")</f>
        <v>This component will be configured by DemoData3</v>
      </c>
      <c r="V5" s="510" t="str">
        <f>IF('Program Config'!$J$1="LEGACY","LEGACY ILU", "LATEST ILU")</f>
        <v>LATEST ILU</v>
      </c>
      <c r="W5" s="516" t="s">
        <v>610</v>
      </c>
      <c r="X5" s="517" t="s">
        <v>610</v>
      </c>
      <c r="Y5" s="510" t="str">
        <f>IF('Program Config'!$J$1="LEGACY","LEGACY Redirection URL", "LATEST Redirection URL")</f>
        <v>LATEST Redirection URL</v>
      </c>
      <c r="Z5" s="511" t="s">
        <v>610</v>
      </c>
      <c r="AA5" s="517" t="s">
        <v>610</v>
      </c>
      <c r="AB5" s="466" t="str">
        <f>_xlfn.CONCAT(""&amp;(Concats!$W$2)&amp;"")</f>
        <v>This component is not necessary</v>
      </c>
      <c r="AC5" s="466" t="str">
        <f>_xlfn.CONCAT(""&amp;(Concats!$W$2)&amp;"")</f>
        <v>This component is not necessary</v>
      </c>
      <c r="AD5" s="466" t="str">
        <f>_xlfn.CONCAT(""&amp;(Concats!$W$2)&amp;"")</f>
        <v>This component is not necessary</v>
      </c>
      <c r="AE5" s="468" t="s">
        <v>803</v>
      </c>
      <c r="AF5" s="467" t="str">
        <f>Concats!$W$27</f>
        <v xml:space="preserve">DemoData27:  Nonce7
DemoData72:  Nocne8
URL:  https://www.linkedin.com/in/jo-ann-balsamo/ </v>
      </c>
      <c r="AG5" s="467" t="str">
        <f>_xlfn.CONCAT(""&amp;(Concats!$W$30)&amp;"")</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AH5" s="467" t="str">
        <f>_xlfn.CONCAT(""&amp;(Concats!$W$33)&amp;"
"&amp;(Concats!$W$34)&amp;" "&amp;(Concats!$W$35)&amp;" "&amp;(Concats!$W$36)&amp;" 
"&amp;(Concats!$W$37)&amp;"")</f>
        <v xml:space="preserve">DRAFT
Attach: Customized LMS7GENINTEGRATION 31 Client DemoData727e
Subject: DEMO / DemoData.com LM7 Integration
TO: w.barnes@demodata.com; t.navarro@demodata.com; n.reed@demodata.com
CC:  leah.adler@FakeDemoData.com; gavin.park@FakeDemoData.com; m.chen@demodata.com
BCC: victoria.lane@FakeDemoData.com
Good Morning,
My name is Victoria Lane and I am your DemoData.com Implementation Manager; it’s nice to meet you virtually!
Thank you, in advance, for helping us integrate DemoData.com as an GENINTEGRATION 31 tool in your LM7 LMS. In order to complete the configuration, you will need the Application ID / CID below and found on page 1 of the MARKET2 client DemoData727e with detailed information.  
Application ID / CID:     0 
Once you have completed the necessary steps outlined in the client DemoData727e, you will need to send me the Deployment ID.  Detailed information about this step can be found on pages 1-2 of the MARKET2 DemoData727e.  
You can reply to this Type1 to send me the Deployment ID; I will respond to let you know the configuration has been completed and it is okay to proceed with testing.
Please Note:  The tool will not launch until the Deployment ID has been added to the configuration.
Once ready, please let me know when you have completed a couple of tests by launching from both student and teacher accounts in varying courses. I will review the data to verify that we have captured /mapped the user and course IDs most suitable for reporting.
If you have any questions about the configuration, please let me know.
Thank you, </v>
      </c>
      <c r="AI5" s="500" t="s">
        <v>929</v>
      </c>
      <c r="AJ5" s="469" t="s">
        <v>610</v>
      </c>
      <c r="AK5" s="500" t="s">
        <v>930</v>
      </c>
      <c r="AL5" s="470" t="s">
        <v>610</v>
      </c>
      <c r="AM5" s="471" t="str">
        <f>_xlfn.CONCAT(""&amp;(Concats!$W$46)&amp;"
"&amp;(Concats!$W$47)&amp;"")</f>
        <v>DRAFT
Attach: Program Preferences Sheet
Subject: DEMO / Program Preferences Sheet
TO: w.barnes@demodata.com; t.navarro@demodata.com; n.reed@demodata.com
CC:  leah.adler@FakeDemoData.com; gavin.park@FakeDemoData.com; m.chen@demodata.com
BCC: victoria.lane@FakeDemoData.com
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AN5" s="472" t="str">
        <f>_xlfn.CONCAT(""&amp;(Concats!$W$49)&amp;"")</f>
        <v>DEMO LATEST:  https://www.linkedin.com/in/jo-ann-balsamo
Username: linkedin@PRODUCT4.com 
PW: DemoData2026</v>
      </c>
      <c r="AO5" s="473" t="str">
        <f>_xlfn.CONCAT(""&amp;(Concats!$W$51)&amp;"")</f>
        <v>DEMO AP: https://www.linkedin.com/in//linkedin/AM
Username: linkedin@PRODUCT4.com
PW: DemoData2026</v>
      </c>
      <c r="AP5" s="474" t="str">
        <f t="shared" si="1"/>
        <v>Arizona (AZ)</v>
      </c>
      <c r="AQ5" s="475" t="s">
        <v>276</v>
      </c>
      <c r="AR5" s="476" t="s">
        <v>277</v>
      </c>
      <c r="AS5" s="477" t="s">
        <v>278</v>
      </c>
      <c r="AT5" s="478" t="s">
        <v>279</v>
      </c>
      <c r="AU5" s="479" t="s">
        <v>645</v>
      </c>
      <c r="AV5" s="501">
        <v>16</v>
      </c>
      <c r="AW5" s="518" t="s">
        <v>931</v>
      </c>
      <c r="AX5" s="519" t="s">
        <v>266</v>
      </c>
      <c r="AY5" s="504" t="s">
        <v>700</v>
      </c>
      <c r="AZ5" s="505" t="s">
        <v>595</v>
      </c>
      <c r="BA5" s="505" t="s">
        <v>610</v>
      </c>
      <c r="BB5" s="505" t="s">
        <v>619</v>
      </c>
      <c r="BC5" s="486" t="str">
        <f>_xlfn.CONCAT(""&amp;(Concats!$D$74)&amp;"
"&amp;(Concats!$D$75)&amp;"
"&amp;(Concats!$D$76)&amp;"
"&amp;(Concats!$D$77)&amp;"
"&amp;(Concats!$D$78)&amp;"
"&amp;(Concats!$D$79)&amp;"
"&amp;(Concats!$D$80)&amp;"
"&amp;(Concats!$D$81)&amp;"
"&amp;(Concats!$D$82)&amp;"")</f>
        <v>DRAFT
Attach: Client DemoData727es - LMS3 Rostering (PDF)
Subject: DEMO / DemoData.com LMS3 Rostering + PROD7 + PRODUCT2
TO: w.barnes@demodata.com; t.navarro@demodata.com; n.reed@demodata.com
CC:  leah.adler@FakeDemoData.com; gavin.park@FakeDemoData.com; m.chen@demodata.com
BCC: victoria.lane@FakeDemoData.com
Good Morning,
I am excited to partner with the DEMO team to set up LMS3 Rostering with the DemoData.com Teacher Dashboard and High Dosage DemoDataing.
I’d like to confirm the current set up of your program and go over the initial steps for LMS3 Rostering.  I have also included some information regarding the rostering workflow and required data pieces in the attachment above. Currently, I understand your DemoData.com program is accessed through a LMS1 - GENINTEGRATION 31 Link &amp; Course NAV connection.  To roster with DemoData.com, we need to verify and then connect via your LMS3 District ID.  Doing so will NOT impact the connection/access point your students/staff are currently using. Can you please confirm that the LMS3 District ID shown below is the correct one for your school district?  Once verified, I will send an invite and sharing recommendations via LMS3 that will both need to be accepted.
****Insert LMS3 District ID Screenshot here****
Once connected in LMS3, we will be able to initiate LMS3 Rostering in our Stage environment and start the data verification process.  During the data verification, we will review what LMS3 is sending us in the rostering files and compare it to what we are receiving from your current connection/access point to make sure it matches.  This will not have an impact on or disrupt the current integration methods.  
An important aspect of the verification process is specific to the username formats received in the roster files. In order to maintain data continuity, the username that we receive from the LMS3 will need to match the username format that is being passed from the current LMS1 - GENINTEGRATION 31 Link &amp; Course NAV integration.
From an initial review of your data, it appears that DEMO is passing the user's ***INSERT FORMAT AND/OR DESCRIPTION OF USERNAME BEING PASSED*** as the username - please see the screenshot below for reference.
***Insert Screenshot of Client's Usernames from SQL Query***
If you are ready to move forward, please notify me so that I send the sharing invite and recommendations in LMS3.  Once both are accepted, I will initiate LMS3 Rostering process in our Stage environment.  After the Stage environment data verification is complete, we will be able to initiate rostering in PRODUCTION for your program.  
Please let me know if you have any questions along the way.  I’m also available to jump on a Teams call to discuss the process if you would prefer.
Thank you,</v>
      </c>
      <c r="BE5" s="21" t="str">
        <f>_xlfn.CONCAT(""&amp;(Concats!B59)&amp;"")</f>
        <v>*.DemoData4.com</v>
      </c>
      <c r="BF5" s="21" t="str">
        <f>_xlfn.CONCAT(""&amp;(Concats!B63)&amp;"")</f>
        <v>JLB</v>
      </c>
      <c r="BG5" s="21" t="str">
        <f>_xlfn.CONCAT(""&amp;(Concats!B68)&amp;"")</f>
        <v>###</v>
      </c>
      <c r="BI5" s="264" t="str">
        <f t="shared" si="3"/>
        <v>c  |  C</v>
      </c>
      <c r="BJ5" s="507" t="s">
        <v>165</v>
      </c>
      <c r="BK5" s="487" t="str">
        <f t="shared" si="2"/>
        <v>C</v>
      </c>
    </row>
    <row r="6" spans="1:64" ht="45" customHeight="1" x14ac:dyDescent="0.55000000000000004">
      <c r="A6" s="520" t="s">
        <v>280</v>
      </c>
      <c r="B6" s="489" t="s">
        <v>873</v>
      </c>
      <c r="C6" s="490" t="s">
        <v>871</v>
      </c>
      <c r="D6" s="491" t="s">
        <v>743</v>
      </c>
      <c r="E6" s="459" t="str">
        <f>IF('Program Config'!$C$30&lt;&gt;"",'Program Config'!$C$30,"This component has not been configured yet")</f>
        <v>Nonce7</v>
      </c>
      <c r="F6" s="491" t="s">
        <v>726</v>
      </c>
      <c r="G6" s="459" t="str">
        <f>IF('Program Config'!$C$31&lt;&gt;"",'Program Config'!$C$31,"This component has not been configured yet")</f>
        <v>Nocne8</v>
      </c>
      <c r="H6" s="492" t="s">
        <v>260</v>
      </c>
      <c r="I6" s="493" t="s">
        <v>260</v>
      </c>
      <c r="J6" s="492" t="s">
        <v>260</v>
      </c>
      <c r="K6" s="493" t="s">
        <v>260</v>
      </c>
      <c r="L6" s="491" t="s">
        <v>260</v>
      </c>
      <c r="M6" s="493" t="s">
        <v>260</v>
      </c>
      <c r="N6" s="494" t="s">
        <v>872</v>
      </c>
      <c r="O6" s="491" t="s">
        <v>743</v>
      </c>
      <c r="P6" s="493" t="str">
        <f>IF('Program Config'!$C$30&lt;&gt;"",'Program Config'!$C$30,"This component has not been configured yet")</f>
        <v>Nonce7</v>
      </c>
      <c r="Q6" s="492" t="s">
        <v>726</v>
      </c>
      <c r="R6" s="493" t="str">
        <f>IF('Program Config'!$C$31&lt;&gt;"",'Program Config'!$C$31,"This component has not been configured yet")</f>
        <v>Nocne8</v>
      </c>
      <c r="S6" s="495" t="str">
        <f>IF('Program Config'!$J$1="LEGACY","LEGACY GENINTEGRATION 22 EP", "LATEST GENINTEGRATION 22 EP")</f>
        <v>LATEST GENINTEGRATION 22 EP</v>
      </c>
      <c r="T6" s="496" t="s">
        <v>610</v>
      </c>
      <c r="U6" s="497" t="s">
        <v>610</v>
      </c>
      <c r="V6" s="491" t="s">
        <v>260</v>
      </c>
      <c r="W6" s="498" t="s">
        <v>260</v>
      </c>
      <c r="X6" s="493" t="s">
        <v>260</v>
      </c>
      <c r="Y6" s="491" t="s">
        <v>260</v>
      </c>
      <c r="Z6" s="493" t="s">
        <v>260</v>
      </c>
      <c r="AA6" s="493" t="s">
        <v>260</v>
      </c>
      <c r="AB6" s="499" t="s">
        <v>261</v>
      </c>
      <c r="AC6" s="466" t="str">
        <f>_xlfn.CONCAT("-=- Tool Provider Settings -=-
"&amp;(Concats!$H$3)&amp;"
"&amp;(Concats!$H$4)&amp;"
"&amp;(Concats!$H$5)&amp;"")</f>
        <v>-=- Tool Provider Settings -=-
Launch Point: www.linkedin.com/in/jo-ann-balsamo/
Version:  22
OA SG Method:  HMAC-SHA1
Use custom tool consumer information instead of default
DemoData27:  Nonce7
DemoData72:  Nocne8
Name:  DemoData.com
Visibility:  Checked
Security Settings:  All boxes checked
-=- Tool Link Settings -=-
Title:  DemoData.com
URL:  https://www.linkedin.com/in/jo-ann-balsamo/
Visibility:  Checked
DemoData27/DemoData72 "Sign Messages…":  Checked
Tool Consumer DemoData27/DemoData72:  Checked
Security Settings:  All boxes checked
-=- Add Link to Course -=-
NOTE:  Open as "External Resources" or set Launch Behavior to "New Window/Tab"</v>
      </c>
      <c r="AD6" s="467" t="str">
        <f>_xlfn.CONCAT(UPPER(SUBSTITUTE(Concats!$A$8,"/","")))&amp;"_JLB_GENINTEGRATION_parameters_LMS8"&amp;""</f>
        <v>LINKEDIN_JLB_GENINTEGRATION_parameters_LMS8</v>
      </c>
      <c r="AE6" s="468" t="s">
        <v>804</v>
      </c>
      <c r="AF6" s="467" t="str">
        <f>Concats!$H$27</f>
        <v xml:space="preserve">DemoData27:  Nonce7
DemoData72:  Nocne8
URL:  https://www.linkedin.com/in/jo-ann-balsamo/ </v>
      </c>
      <c r="AG6" s="467" t="str">
        <f>_xlfn.CONCAT(""&amp;(Concats!$H$30)&amp;"")</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AH6" s="467" t="str">
        <f>_xlfn.CONCAT(""&amp;(Concats!$F$33)&amp;""&amp;(Concats!$H$34)&amp;""&amp;(Concats!$H$35)&amp;"
"&amp;(Concats!$H$36)&amp;"
"&amp;(Concats!$H$37)&amp;"
"&amp;(Concats!$H$38)&amp;"")</f>
        <v>DRAFT
Attach: XML + LM7 Client DemoData727e
Subject: DEMO / DemoData.com LM7 Integration
CC: leah.adler@FakeDemoData.com; gavin.park@FakeDemoData.com
TO: w.barnes@demodata.com; t.navarro@demodata.com; n.reed@demodata.com
CC:  leah.adler@FakeDemoData.com; gavin.park@FakeDemoData.com; m.chen@demodata.com
BCC: victoria.lane@FakeDemoData.com
Good Morning,
We’ve created your DemoData.com site and the GENINTEGRATION EP so that you can make our service available in your LMS8 courses.
MARKET2 are the parameters that you’d need to accomplish this. I’ve also MARKET2 some simple screenshots to help walk you through the integration as well as the GENINTEGRATION AM documents from LMS9. Pages 12 and 13 refer to deploying External Tools which is what DemoData.com will be listed as to your students.  
Once you’ve been able to “install” and test-launch our service from a course, please let us know so that we can check the payload that we receive from your LMS and make sure that we’re mapping the correct elements for user and course identifiers.  
DemoData27:  Nonce7
DemoData72:  Nocne8
URL:  https://www.linkedin.com/in/jo-ann-balsamo/ 
Please review and let me know if you have any questions.
Thank you,</v>
      </c>
      <c r="AI6" s="468" t="s">
        <v>932</v>
      </c>
      <c r="AJ6" s="469" t="s">
        <v>610</v>
      </c>
      <c r="AK6" s="500"/>
      <c r="AL6" s="470"/>
      <c r="AM6" s="471" t="str">
        <f>_xlfn.CONCAT(""&amp;(Concats!$H$46)&amp;"
"&amp;(Concats!$H$47)&amp;"")</f>
        <v>DRAFT
Attach: Program Preferences Sheet
Subject: DEMO / Program Preferences Sheet
TO: w.barnes@demodata.com; t.navarro@demodata.com; n.reed@demodata.com
CC:  leah.adler@FakeDemoData.com; gavin.park@FakeDemoData.com; m.chen@demodata.com
BCC: victoria.lane@FakeDemoData.com
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AN6" s="472" t="str">
        <f>_xlfn.CONCAT(""&amp;(Concats!$H$49)&amp;"")</f>
        <v>DEMO LATEST:  https://www.linkedin.com/in/jo-ann-balsamo
Username: linkedin@PRODUCT4.com 
PW: DemoData2026</v>
      </c>
      <c r="AO6" s="473" t="str">
        <f>_xlfn.CONCAT(""&amp;(Concats!$H$51)&amp;"")</f>
        <v>DEMO AP: https://www.linkedin.com/in//linkedin/AM
Username: linkedin@PRODUCT4.com
PW: DemoData2026</v>
      </c>
      <c r="AP6" s="474" t="str">
        <f t="shared" si="1"/>
        <v>Arkansas (AR)</v>
      </c>
      <c r="AQ6" s="475" t="s">
        <v>281</v>
      </c>
      <c r="AR6" s="476" t="s">
        <v>5</v>
      </c>
      <c r="AS6" s="477" t="s">
        <v>282</v>
      </c>
      <c r="AT6" s="478" t="s">
        <v>631</v>
      </c>
      <c r="AU6" s="521" t="s">
        <v>695</v>
      </c>
      <c r="AV6" s="522"/>
      <c r="AW6" s="518" t="s">
        <v>1008</v>
      </c>
      <c r="AX6" s="523" t="s">
        <v>169</v>
      </c>
      <c r="AY6" s="504" t="s">
        <v>612</v>
      </c>
      <c r="AZ6" s="505" t="s">
        <v>205</v>
      </c>
      <c r="BA6" s="505" t="s">
        <v>610</v>
      </c>
      <c r="BB6" s="505" t="s">
        <v>613</v>
      </c>
      <c r="BC6" s="486" t="str">
        <f>_xlfn.CONCAT(""&amp;(Concats!$E$74)&amp;"
"&amp;(Concats!$E$75)&amp;"
"&amp;(Concats!$E$76)&amp;"
"&amp;(Concats!$E$77)&amp;"
"&amp;(Concats!$E$78)&amp;"
"&amp;(Concats!$E$79)&amp;"
"&amp;(Concats!$E$80)&amp;"
"&amp;(Concats!$E$81)&amp;"
"&amp;(Concats!$E$82)&amp;"")</f>
        <v xml:space="preserve">DRAFT
Attach: Client DemoData727es - OneRoster &amp; Customized DemoData Rostering via LMS2 - PROD
Subject: DEMO / DemoData.com LMS2 OneRoster
TO: w.barnes@demodata.com; t.navarro@demodata.com; n.reed@demodata.com
CC:  leah.adler@FakeDemoData.com; gavin.park@FakeDemoData.com; m.chen@demodata.com
BCC: victoria.lane@FakeDemoData.com
Good Morning,
I am excited to partner with the DEMO team to set up LMS2 OneRoster with DemoData.com.
To get started, I have included an overview of the DemoData.com Rostering Using the OneRoster Standard DemoData727e.  Next steps would be to confirm your rostering method if, for some reason, you are not intending to use OneRoster. 
Once confirmed, I will send you instructions to initiate sending your roster files and our development team will begin the data verification process.
An important aspect of the verification process is specific to the username formats received in the roster files. In order to maintain data continuity, the username that we receive from the OneRoster will need to match the username format that is being passed from the current LMS1 - GENINTEGRATION 31 Link &amp; Course NAV integration.
From an initial review of your data, it appears that DEMO is passing the user's ***INSERT FORMAT AND/OR DESCRIPTION OF USERNAME BEING PASSED*** as the username - please see the screenshot below for reference.
***Insert Screenshot of Client's Usernames from SQL Query***
Please let me know if you have any questions now or along the way.
Hope you have a great day!
Thank you, 
</v>
      </c>
      <c r="BE6" s="21" t="str">
        <f>_xlfn.CONCAT(""&amp;(Concats!B60)&amp;"")</f>
        <v>*.DemoData.com</v>
      </c>
      <c r="BF6" s="21" t="str">
        <f>_xlfn.CONCAT(""&amp;(Concats!B64)&amp;"")</f>
        <v>JLB</v>
      </c>
      <c r="BG6" s="21" t="str">
        <f>_xlfn.CONCAT(""&amp;(Concats!B69)&amp;"")</f>
        <v>###</v>
      </c>
      <c r="BI6" s="264" t="str">
        <f t="shared" si="3"/>
        <v>d  |  D</v>
      </c>
      <c r="BJ6" s="524" t="s">
        <v>167</v>
      </c>
      <c r="BK6" s="487" t="str">
        <f t="shared" si="2"/>
        <v>D</v>
      </c>
    </row>
    <row r="7" spans="1:64" ht="45" customHeight="1" thickBot="1" x14ac:dyDescent="0.6">
      <c r="A7" s="525" t="s">
        <v>284</v>
      </c>
      <c r="B7" s="456" t="s">
        <v>854</v>
      </c>
      <c r="C7" s="509" t="s">
        <v>851</v>
      </c>
      <c r="D7" s="510" t="s">
        <v>852</v>
      </c>
      <c r="E7" s="511" t="str" cm="1">
        <f t="array" ref="E7">IF('Program Config'!$N$31="",(_xlfn.IFS('Program Config'!$N$27="","This component requires the LMS8 Client-Specific Environment",'Program Config'!$N$27="n/a","",'Program Config'!$N$27&lt;&gt;"",'Program Config'!$N$27)),'Program Config'!$N$31)</f>
        <v>This component requires the LMS8 Client-Specific Environment</v>
      </c>
      <c r="F7" s="510" t="s">
        <v>764</v>
      </c>
      <c r="G7" s="511" t="str" cm="1">
        <f t="array" ref="G7">(_xlfn.IFS('Program Config'!$N$28=0,"This component requires the LMS8 CID",'Program Config'!$N$28="n/a","",'Program Config'!$N$28&gt;0,'Program Config'!$N$28))</f>
        <v>This component requires the LMS8 CID</v>
      </c>
      <c r="H7" s="512" t="s">
        <v>760</v>
      </c>
      <c r="I7" s="511" t="str" cm="1">
        <f t="array" ref="I7">IF('Program Config'!$N$30="",(_xlfn.IFS('Program Config'!$N$27="","This component requires the LMS8 OpenID Connect OA. EP",'Program Config'!$N$27="n/a","",'Program Config'!$N$27&lt;&gt;"",_xlfn.CONCAT('Program Config'!$N$27,"/LMS8/GENINTEGRATION/OAenticate"))),'Program Config'!$N$30)</f>
        <v>This component requires the LMS8 OpenID Connect OA. EP</v>
      </c>
      <c r="J7" s="512" t="s">
        <v>745</v>
      </c>
      <c r="K7" s="511" t="str" cm="1">
        <f t="array" ref="K7">IF('Program Config'!$N$29="",(_xlfn.IFS('Program Config'!$N$27="","This component requires the LMS8 DemoData27set URL",'Program Config'!$N$27="n/a","",'Program Config'!$N$27&lt;&gt;"",_xlfn.CONCAT('Program Config'!$N$27,"/LMS8/.well-known/jwks"))),'Program Config'!$N$29)</f>
        <v>This component requires the LMS8 DemoData27set URL</v>
      </c>
      <c r="L7" s="510" t="s">
        <v>273</v>
      </c>
      <c r="M7" s="511" t="str" cm="1">
        <f t="array" ref="M7">(_xlfn.IFS('Program Config'!$N$32=0,"This component requires the Client's LMS8 Deployment ID",'Program Config'!$N$32="n/a","",'Program Config'!$N$32&gt;0,'Program Config'!$N$32))</f>
        <v>This component requires the Client's LMS8 Deployment ID</v>
      </c>
      <c r="N7" s="513" t="s">
        <v>853</v>
      </c>
      <c r="O7" s="510" t="s">
        <v>275</v>
      </c>
      <c r="P7" s="511" t="str">
        <f>IF('Program Config'!$C$34="n/a","n/a",IF(AND('Program Config'!$C$34&lt;&gt;"",'Program Config'!$C$28&lt;&gt;""),_xlfn.CONCAT("https://www.linkedin.com/in/jo-ann-balsamo"&amp;(SUBSTITUTE('Program Config'!$C$34,"https://www.linkedin.com/in/jo-ann-balsamo",""))&amp;"/"&amp;('Program Config'!$C$28)&amp;""),"This component requires the DemoData3 Client URL &amp;Concats!AE34 the Program DemoData727"))</f>
        <v>https://www.linkedin.com/in/jo-ann-balsamo//NONCE-nonce-NONCE2-nonce3-nonce</v>
      </c>
      <c r="Q7" s="512" t="s">
        <v>764</v>
      </c>
      <c r="R7" s="526" t="str">
        <f>IF('Program Config'!G44&lt;&gt;"","This component will be configured by DemoData3","This component will be configured by DemoData3")</f>
        <v>This component will be configured by DemoData3</v>
      </c>
      <c r="S7" s="512" t="s">
        <v>273</v>
      </c>
      <c r="T7" s="527" t="str">
        <f>IF('Program Config'!G45&lt;&gt;"","This component will be configured by DemoData3","This component will be configured by DemoData3")</f>
        <v>This component will be configured by DemoData3</v>
      </c>
      <c r="U7" s="528" t="str">
        <f>IF('Program Config'!H45&lt;&gt;"","This component will be configured by DemoData3","This component will be configured by DemoData3")</f>
        <v>This component will be configured by DemoData3</v>
      </c>
      <c r="V7" s="510" t="str">
        <f>IF('Program Config'!$J$1="LEGACY","LEGACY ILU", "LATEST ILU")</f>
        <v>LATEST ILU</v>
      </c>
      <c r="W7" s="529" t="s">
        <v>610</v>
      </c>
      <c r="X7" s="517" t="s">
        <v>610</v>
      </c>
      <c r="Y7" s="510" t="str">
        <f>IF('Program Config'!$J$1="LEGACY","LEGACY Redirection URL", "LATEST Redirection URL")</f>
        <v>LATEST Redirection URL</v>
      </c>
      <c r="Z7" s="526" t="s">
        <v>610</v>
      </c>
      <c r="AA7" s="517" t="s">
        <v>610</v>
      </c>
      <c r="AB7" s="466" t="str">
        <f>_xlfn.CONCAT(""&amp;(Concats!$Y$2)&amp;"")</f>
        <v>This component is not necessary</v>
      </c>
      <c r="AC7" s="466" t="str">
        <f>_xlfn.CONCAT(""&amp;(Concats!$Y$2)&amp;"")</f>
        <v>This component is not necessary</v>
      </c>
      <c r="AD7" s="466" t="str">
        <f>_xlfn.CONCAT(""&amp;(Concats!$Y$2)&amp;"")</f>
        <v>This component is not necessary</v>
      </c>
      <c r="AE7" s="468" t="s">
        <v>805</v>
      </c>
      <c r="AF7" s="467" t="str">
        <f>Concats!$Y$27</f>
        <v xml:space="preserve">DemoData27:  Nonce7
DemoData72:  Nocne8
URL:  https://www.linkedin.com/in/jo-ann-balsamo/ </v>
      </c>
      <c r="AG7" s="467" t="str">
        <f>_xlfn.CONCAT(""&amp;(Concats!$Y$30)&amp;"")</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AH7" s="467" t="str">
        <f>_xlfn.CONCAT(""&amp;(Concats!$Y$33)&amp;"
"&amp;(Concats!$Y$34)&amp;"
"&amp;(Concats!$Y$35)&amp;"
"&amp;(Concats!$Y$36)&amp;"")</f>
        <v>DRAFT
Attach: Customized JLB Client DemoData727e LMS8 GENINTEGRATION 31
Subject: DEMO / DemoData.com LMS9/LMS8 Integration
TO: w.barnes@demodata.com; t.navarro@demodata.com; n.reed@demodata.com
CC:  leah.adler@FakeDemoData.com; gavin.park@FakeDemoData.com; m.chen@demodata.com
BCC: victoria.lane@FakeDemoData.com
Good Morning,
My name is Victoria Lane and I am your DemoData.com Implementation Manager; it’s nice to meet you virtually!
Thank you, in advance, for helping us integrate DemoData.com as an GENINTEGRATION tool in your LMS9/LMS8 LMS.  The MARKET2 Client DemoData727e has the information you will need to complete the set up.
In order to complete the configuration on our end, we will need 5 pieces of information from your set up:
1.	The CID - Detailed in Step 1 on Page 4 of the MARKET2 Client DemoData727e 
2.	LMS9 DemoData27set URL  - Detailed in Step 1 on Page 4 of the MARKET2 Client DemoData727e
3.	OpenID Connect OA EP - Detailed in Step 1 on Page 4 of the MARKET2 Client DemoData727e
4.	Issuer - Detailed in Step 1 on Page 4 of the MARKET2 Client DemoData727e 
5.	Deployment ID - Detailed in Step 2-7 on Page 7 of the MARKET2 Client DemoData727e
You can use the table below in a reply Type1 to send me all 5 pieces of data; I will respond to let you know the configuration has been completed and it is okay to proceed with testing.
****Insert Table Here****
Please Note:  The tool will not launch until all data strings are added to the configuration.
Once ready, please let me know when you have completed a couple of tests by launching from both student and teacher accounts in varying courses. I will review the data to verify that we have captured /mapped the user and course IDs most suitable for reporting.
If you have any questions about the configuration, please let me know.
Thank you,</v>
      </c>
      <c r="AI7" s="468" t="s">
        <v>933</v>
      </c>
      <c r="AJ7" s="469" t="s">
        <v>610</v>
      </c>
      <c r="AK7" s="500" t="s">
        <v>934</v>
      </c>
      <c r="AL7" s="470" t="s">
        <v>610</v>
      </c>
      <c r="AM7" s="471" t="str">
        <f>_xlfn.CONCAT(""&amp;(Concats!$Y$46)&amp;"
"&amp;(Concats!$Y$47)&amp;"")</f>
        <v>DRAFT
Attach: Program Preferences Sheet
Subject: DEMO / Program Preferences Sheet
TO: w.barnes@demodata.com; t.navarro@demodata.com; n.reed@demodata.com
CC:  leah.adler@FakeDemoData.com; gavin.park@FakeDemoData.com; m.chen@demodata.com
BCC: victoria.lane@FakeDemoData.com
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AN7" s="472" t="str">
        <f>_xlfn.CONCAT(""&amp;(Concats!$Y$49)&amp;"")</f>
        <v>DEMO LATEST:  https://www.linkedin.com/in/jo-ann-balsamo
Username: linkedin@PRODUCT4.com 
PW: DemoData2026</v>
      </c>
      <c r="AO7" s="473" t="str">
        <f>_xlfn.CONCAT(""&amp;(Concats!$Y$51)&amp;"")</f>
        <v>DEMO AP: https://www.linkedin.com/in//linkedin/AM
Username: linkedin@PRODUCT4.com
PW: DemoData2026</v>
      </c>
      <c r="AP7" s="474" t="str">
        <f t="shared" si="1"/>
        <v>California (CA)</v>
      </c>
      <c r="AQ7" s="475" t="s">
        <v>285</v>
      </c>
      <c r="AR7" s="476" t="s">
        <v>286</v>
      </c>
      <c r="AS7" s="477" t="s">
        <v>287</v>
      </c>
      <c r="AT7" s="478" t="s">
        <v>288</v>
      </c>
      <c r="AU7" s="479" t="s">
        <v>696</v>
      </c>
      <c r="AV7" s="501">
        <v>23</v>
      </c>
      <c r="AW7" s="530" t="s">
        <v>295</v>
      </c>
      <c r="AX7" s="478" t="s">
        <v>642</v>
      </c>
      <c r="AY7" s="504" t="s">
        <v>701</v>
      </c>
      <c r="AZ7" s="505" t="s">
        <v>205</v>
      </c>
      <c r="BA7" s="505" t="s">
        <v>610</v>
      </c>
      <c r="BB7" s="505" t="s">
        <v>614</v>
      </c>
      <c r="BC7" s="486" t="str">
        <f>_xlfn.CONCAT(""&amp;(Concats!$F$74)&amp;"
"&amp;(Concats!$F$75)&amp;"
"&amp;(Concats!$F$76)&amp;"
"&amp;(Concats!$F$77)&amp;"
"&amp;(Concats!$F$78)&amp;"
"&amp;(Concats!$F$79)&amp;"
"&amp;(Concats!$F$80)&amp;"
"&amp;(Concats!$F$81)&amp;"
"&amp;(Concats!$F$82)&amp;"")</f>
        <v xml:space="preserve">DRAFT
Attach: Client DemoData727es - OneRoster &amp; Customized DemoData Rostering via LMS2 - PROD
Subject: DEMO / DemoData.com LMS2 OneRoster + PROD7
TO: w.barnes@demodata.com; t.navarro@demodata.com; n.reed@demodata.com
CC:  leah.adler@FakeDemoData.com; gavin.park@FakeDemoData.com; m.chen@demodata.com
BCC: victoria.lane@FakeDemoData.com
Good Morning,
I am excited to partner with the DEMO team to set up LMS2 OneRoster with the DemoData.com Teacher Dashboard.
To get started, I have included an overview of the DemoData.com Rostering Using the OneRoster Standard DemoData727e.  Next steps would be to confirm your rostering method if, for some reason, you are not intending to use OneRoster. 
Once confirmed, I will send you instructions to initiate sending your roster files and our development team will begin the data verification process.
An important aspect of the verification process is specific to the username formats received in the roster files. In order to maintain data continuity, the username that we receive from the OneRoster will need to match the username format that is being passed from the current LMS1 - GENINTEGRATION 31 Link &amp; Course NAV integration.
From an initial review of your data, it appears that DEMO is passing the user's ***INSERT FORMAT AND/OR DESCRIPTION OF USERNAME BEING PASSED*** as the username - please see the screenshot below for reference.
***Insert Screenshot of Client's Usernames from SQL Query***
Please let me know if you have any questions now or along the way.
Hope you have a great day!
Thank you, 
</v>
      </c>
      <c r="BE7" s="21" t="str">
        <f>_xlfn.CONCAT(""&amp;(Concats!B61)&amp;"")</f>
        <v>*.linkedin.com/in/jo-ann-balsamo/</v>
      </c>
      <c r="BF7" s="21" t="str">
        <f>_xlfn.CONCAT(""&amp;(Concats!B65)&amp;"")</f>
        <v>JLB</v>
      </c>
      <c r="BG7" s="21" t="str">
        <f>_xlfn.CONCAT(""&amp;(Concats!B70)&amp;"")</f>
        <v>###</v>
      </c>
      <c r="BI7" s="264" t="str">
        <f t="shared" si="3"/>
        <v>e  |  E</v>
      </c>
      <c r="BJ7" s="524" t="s">
        <v>168</v>
      </c>
      <c r="BK7" s="487" t="str">
        <f t="shared" si="2"/>
        <v>E</v>
      </c>
    </row>
    <row r="8" spans="1:64" ht="45" customHeight="1" x14ac:dyDescent="0.55000000000000004">
      <c r="A8" s="531" t="s">
        <v>289</v>
      </c>
      <c r="B8" s="489" t="s">
        <v>874</v>
      </c>
      <c r="C8" s="490" t="s">
        <v>871</v>
      </c>
      <c r="D8" s="491" t="s">
        <v>743</v>
      </c>
      <c r="E8" s="459" t="str">
        <f>IF('Program Config'!$C$30&lt;&gt;"",'Program Config'!$C$30,"This component has not been configured yet")</f>
        <v>Nonce7</v>
      </c>
      <c r="F8" s="491" t="s">
        <v>726</v>
      </c>
      <c r="G8" s="459" t="str">
        <f>IF('Program Config'!$C$31&lt;&gt;"",'Program Config'!$C$31,"This component has not been configured yet")</f>
        <v>Nocne8</v>
      </c>
      <c r="H8" s="492" t="s">
        <v>260</v>
      </c>
      <c r="I8" s="493" t="s">
        <v>260</v>
      </c>
      <c r="J8" s="492" t="s">
        <v>260</v>
      </c>
      <c r="K8" s="493" t="s">
        <v>260</v>
      </c>
      <c r="L8" s="491" t="s">
        <v>260</v>
      </c>
      <c r="M8" s="493" t="s">
        <v>260</v>
      </c>
      <c r="N8" s="494" t="s">
        <v>872</v>
      </c>
      <c r="O8" s="491" t="s">
        <v>743</v>
      </c>
      <c r="P8" s="493" t="str">
        <f>IF('Program Config'!$C$30&lt;&gt;"",'Program Config'!$C$30,"This component has not been configured yet")</f>
        <v>Nonce7</v>
      </c>
      <c r="Q8" s="492" t="s">
        <v>726</v>
      </c>
      <c r="R8" s="493" t="str">
        <f>IF('Program Config'!$C$31&lt;&gt;"",'Program Config'!$C$31,"This component has not been configured yet")</f>
        <v>Nocne8</v>
      </c>
      <c r="S8" s="495" t="str">
        <f>IF('Program Config'!$J$1="LEGACY","LEGACY GENINTEGRATION 22 EP", "LATEST GENINTEGRATION 22 EP")</f>
        <v>LATEST GENINTEGRATION 22 EP</v>
      </c>
      <c r="T8" s="496" t="s">
        <v>610</v>
      </c>
      <c r="U8" s="497" t="s">
        <v>610</v>
      </c>
      <c r="V8" s="491" t="s">
        <v>260</v>
      </c>
      <c r="W8" s="498" t="s">
        <v>260</v>
      </c>
      <c r="X8" s="493" t="s">
        <v>260</v>
      </c>
      <c r="Y8" s="491" t="s">
        <v>260</v>
      </c>
      <c r="Z8" s="493" t="s">
        <v>260</v>
      </c>
      <c r="AA8" s="493" t="s">
        <v>260</v>
      </c>
      <c r="AB8" s="466" t="str">
        <f>_xlfn.CONCAT(""&amp;(Concats!$P$2)&amp;"")</f>
        <v/>
      </c>
      <c r="AC8" s="466" t="str">
        <f>_xlfn.CONCAT(""&amp;(Concats!$P$2)&amp;"
")</f>
        <v xml:space="preserve">
</v>
      </c>
      <c r="AD8" s="466" t="str">
        <f>_xlfn.CONCAT(""&amp;(Concats!$P$2)&amp;"
")</f>
        <v xml:space="preserve">
</v>
      </c>
      <c r="AE8" s="468" t="s">
        <v>806</v>
      </c>
      <c r="AF8" s="467">
        <f>Concats!$P$27</f>
        <v>0</v>
      </c>
      <c r="AG8" s="467" t="str">
        <f>_xlfn.CONCAT(""&amp;(Concats!$P$30)&amp;"")</f>
        <v/>
      </c>
      <c r="AH8" s="467" t="str">
        <f>_xlfn.CONCAT(""&amp;(Concats!$P$33)&amp;"
"&amp;(Concats!$P$34)&amp;" 
"&amp;(Concats!$P$35)&amp;"
"&amp;(Concats!$P$36)&amp;" "&amp;(HYPERLINK(_xlfn.CONCAT(Concats!$P$37),"How do I  create activities with learning tools interoperability (GENINTEGRATION 22)?"&amp;"
"&amp;(Concats!$P$38)&amp;"
"&amp;(Concats!$P$39)&amp;" "&amp;(HYPERLINK(_xlfn.CONCAT(Concats!$P$40),"How do I change my User Settings? (Teacher) – Agilix Help Center?"&amp;"
"&amp;(Concats!$P$41)&amp;" 
"&amp;(Concats!$P$42)&amp;"")))))</f>
        <v xml:space="preserve">
 How do I  create activities with learning tools interoperability (GENINTEGRATION 22)?
 How do I change my User Settings? (Teacher) – Agilix Help Center?
</v>
      </c>
      <c r="AI8" s="468" t="s">
        <v>935</v>
      </c>
      <c r="AJ8" s="469" t="s">
        <v>610</v>
      </c>
      <c r="AK8" s="470"/>
      <c r="AL8" s="470"/>
      <c r="AM8" s="471" t="str">
        <f>_xlfn.CONCAT(""&amp;(Concats!$P$46)&amp;"
"&amp;(Concats!$P$47)&amp;"")</f>
        <v xml:space="preserve">
</v>
      </c>
      <c r="AN8" s="472" t="str">
        <f>_xlfn.CONCAT(""&amp;(Concats!$P$49)&amp;"")</f>
        <v/>
      </c>
      <c r="AO8" s="473" t="str">
        <f>_xlfn.CONCAT(""&amp;(Concats!$P$51)&amp;"")</f>
        <v/>
      </c>
      <c r="AP8" s="474" t="str">
        <f t="shared" si="1"/>
        <v>Colorado (CO)</v>
      </c>
      <c r="AQ8" s="475" t="s">
        <v>290</v>
      </c>
      <c r="AR8" s="476" t="s">
        <v>7</v>
      </c>
      <c r="AS8" s="477" t="s">
        <v>291</v>
      </c>
      <c r="AT8" s="478" t="s">
        <v>584</v>
      </c>
      <c r="AU8" s="479" t="s">
        <v>697</v>
      </c>
      <c r="AV8" s="501">
        <v>20</v>
      </c>
      <c r="AW8" s="501"/>
      <c r="AX8" s="478" t="s">
        <v>641</v>
      </c>
      <c r="AY8" s="504" t="s">
        <v>702</v>
      </c>
      <c r="AZ8" s="505" t="s">
        <v>595</v>
      </c>
      <c r="BA8" s="505" t="s">
        <v>610</v>
      </c>
      <c r="BB8" s="505" t="s">
        <v>615</v>
      </c>
      <c r="BC8" s="486" t="str">
        <f>_xlfn.CONCAT(""&amp;(Concats!$G$74)&amp;"
"&amp;(Concats!$G$75)&amp;"
"&amp;(Concats!$G$76)&amp;"
"&amp;(Concats!$G$77)&amp;"
"&amp;(Concats!$G$78)&amp;"
"&amp;(Concats!$G$79)&amp;"
"&amp;(Concats!$G$80)&amp;"
"&amp;(Concats!$G$81)&amp;"
"&amp;(Concats!$G$82)&amp;"")</f>
        <v xml:space="preserve">DRAFT
Attach: Client DemoData727es - OneRoster &amp; Customized DemoData Rostering via LMS2 - PROD
Subject: DEMO / DemoData.com LMS2 OneRoster + PROD7 + PRODUCT2
TO: w.barnes@demodata.com; t.navarro@demodata.com; n.reed@demodata.com
CC:  leah.adler@FakeDemoData.com; gavin.park@FakeDemoData.com; m.chen@demodata.com
BCC: victoria.lane@FakeDemoData.com
Good Morning,
I am excited to partner with the DEMO team to set up LMS2 OneRoster with the DemoData.com Teacher Dashboard and High Dosage DemoDataing.
To get started, I have included an overview of the DemoData.com Rostering Using the OneRoster Standard DemoData727e.  Next steps would be to confirm your rostering method if, for some reason, you are not intending to use OneRoster. 
Once confirmed, I will send you instructions to initiate sending your roster files and our development team will begin the data verification process.
An important aspect of the verification process is specific to the username formats received in the roster files. In order to maintain data continuity, the username that we receive from the OneRoster will need to match the username format that is being passed from the current LMS1 - GENINTEGRATION 31 Link &amp; Course NAV integration.
From an initial review of your data, it appears that DEMO is passing the user's ***INSERT FORMAT AND/OR DESCRIPTION OF USERNAME BEING PASSED*** as the username - please see the screenshot below for reference.
***Insert Screenshot of Client's Usernames from SQL Query***
Please let me know if you have any questions now or along the way.
Hope you have a great day!
Thank you, 
</v>
      </c>
      <c r="BE8" s="21"/>
      <c r="BF8" s="21" t="str">
        <f>_xlfn.CONCAT(""&amp;(Concats!B66)&amp;"")</f>
        <v>JLB</v>
      </c>
      <c r="BG8" s="21" t="str">
        <f>_xlfn.CONCAT(""&amp;(Concats!B71)&amp;"")</f>
        <v>####–######</v>
      </c>
      <c r="BI8" s="264" t="str">
        <f t="shared" si="3"/>
        <v>f  |  F</v>
      </c>
      <c r="BJ8" s="507" t="s">
        <v>170</v>
      </c>
      <c r="BK8" s="487" t="str">
        <f t="shared" si="2"/>
        <v>F</v>
      </c>
    </row>
    <row r="9" spans="1:64" ht="45" customHeight="1" thickBot="1" x14ac:dyDescent="0.6">
      <c r="A9" s="532" t="s">
        <v>292</v>
      </c>
      <c r="B9" s="456" t="s">
        <v>875</v>
      </c>
      <c r="C9" s="509" t="s">
        <v>871</v>
      </c>
      <c r="D9" s="458" t="s">
        <v>743</v>
      </c>
      <c r="E9" s="459" t="str">
        <f>IF('Program Config'!$C$30&lt;&gt;"",'Program Config'!$C$30,"This component has not been configured yet")</f>
        <v>Nonce7</v>
      </c>
      <c r="F9" s="458" t="s">
        <v>726</v>
      </c>
      <c r="G9" s="459" t="str">
        <f>IF('Program Config'!$C$31&lt;&gt;"",'Program Config'!$C$31,"This component has not been configured yet")</f>
        <v>Nocne8</v>
      </c>
      <c r="H9" s="460" t="s">
        <v>260</v>
      </c>
      <c r="I9" s="459" t="s">
        <v>260</v>
      </c>
      <c r="J9" s="460" t="s">
        <v>260</v>
      </c>
      <c r="K9" s="459" t="s">
        <v>260</v>
      </c>
      <c r="L9" s="458" t="s">
        <v>260</v>
      </c>
      <c r="M9" s="459" t="s">
        <v>260</v>
      </c>
      <c r="N9" s="513" t="s">
        <v>872</v>
      </c>
      <c r="O9" s="458" t="s">
        <v>743</v>
      </c>
      <c r="P9" s="459" t="str">
        <f>IF('Program Config'!$C$30&lt;&gt;"",'Program Config'!$C$30,"This component has not been configured yet")</f>
        <v>Nonce7</v>
      </c>
      <c r="Q9" s="460" t="s">
        <v>726</v>
      </c>
      <c r="R9" s="493" t="str">
        <f>IF('Program Config'!$C$31&lt;&gt;"",'Program Config'!$C$31,"This component has not been configured yet")</f>
        <v>Nocne8</v>
      </c>
      <c r="S9" s="495" t="str">
        <f>IF('Program Config'!$J$1="LEGACY","LEGACY GENINTEGRATION 22 EP", "LATEST GENINTEGRATION 22 EP")</f>
        <v>LATEST GENINTEGRATION 22 EP</v>
      </c>
      <c r="T9" s="514" t="s">
        <v>610</v>
      </c>
      <c r="U9" s="497" t="s">
        <v>610</v>
      </c>
      <c r="V9" s="458" t="s">
        <v>260</v>
      </c>
      <c r="W9" s="464" t="s">
        <v>260</v>
      </c>
      <c r="X9" s="459" t="s">
        <v>260</v>
      </c>
      <c r="Y9" s="458" t="s">
        <v>260</v>
      </c>
      <c r="Z9" s="459" t="s">
        <v>260</v>
      </c>
      <c r="AA9" s="459" t="s">
        <v>260</v>
      </c>
      <c r="AB9" s="465" t="s">
        <v>261</v>
      </c>
      <c r="AC9" s="466" t="str">
        <f>_xlfn.CONCAT("&lt;?xml version="&amp; (Concats!$A$1)&amp;"1.0"&amp;(Concats!$A$1)&amp;" encoding="&amp;(Concats!$A$1)&amp;"UTF-8"&amp;(Concats!$A$1)&amp;"?&gt;
"&amp;(Concats!$B$3)&amp;"
"&amp;(Concats!$B$4)&amp;"
"&amp;(Concats!$B$5)&amp;"
"&amp;(Concats!$B$6)&amp;"
"&amp;(Concats!$B$11)&amp;"
"&amp;(Concats!$B$12)&amp;"
"&amp;(Concats!$B$13)&amp;"")</f>
        <v xml:space="preserve">&lt;?xml version="1.0" encoding="UTF-8"?&gt;
&lt;cartridge_demodata9_link xmlns="https://www.linkedin.com/in/jo-ann-balsamo"
    xmlns:bGENINTEGRATION = "https://www.linkedin.com/in/jo-ann-balsamo"
    xmlns:GENINTEGRATIONcm ="https://www.linkedin.com/in/jo-ann-balsamo"
    xmlns:GENINTEGRATIONcp ="https://www.linkedin.com/in/jo-ann-balsamo"
    xmlns:xsi = "https://www.linkedin.com/in/jo-ann-balsamo"
    xsi:schemaLocation = ""https://www.linkedin.com/in/jo-ann-balsamo""&gt;
https://www.linkedin.com/in/jo-ann-balsamo
    https://www.linkedin.com/in/jo-ann-balsamo
 https://www.linkedin.com/in/jo-ann-balsamo
    https://www.linkedin.com/in/jo-ann-balsamo
 https://www.linkedin.com/in/jo-ann-balsamo
    https://www.linkedin.com/in/jo-ann-balsamo
 https://www.linkedin.com/in/jo-ann-balsamo"&gt;
    &lt;bGENINTEGRATION:title&gt;DemoData.com: 24/7 Online DemoDataing&lt;/bGENINTEGRATION:title&gt;
    &lt;bGENINTEGRATION:description&gt;Connect with a DemoData now for real-time, one-to-one help.  No appointment required.&lt;/bGENINTEGRATION:description&gt;
&lt;bGENINTEGRATION:icon&gt;&lt;/bGENINTEGRATION:icon&gt;
    &lt;bGENINTEGRATION:launch_url&gt;https://www.linkedin.com/in/jo-ann-balsamo/&lt;/bGENINTEGRATION:launch_url&gt;
    &lt;bGENINTEGRATION:extensions platform="LMS1.instructure.com"&gt;
&lt;GENINTEGRATIONcm:property name="tool_id"&gt;JLB_JLB_321&lt;/GENINTEGRATIONcm:property&gt;
      &lt;GENINTEGRATIONcm:property name="privacy_level"&gt;public&lt;/GENINTEGRATIONcm:property&gt;
      &lt;GENINTEGRATIONcm:property name="domain"&gt;api.DemoData3.com&lt;/GENINTEGRATIONcm:property&gt;
      &lt;GENINTEGRATIONcm:options name="course_navigation"&gt;
&lt;GENINTEGRATIONcm:property name="url"&gt;https://www.linkedin.com/in/jo-ann-balsamo/&lt;/GENINTEGRATIONcm:property&gt;
        &lt;GENINTEGRATIONcm:property name="text"&gt;DemoData.com: 24/7 Online DemoDataing&lt;/GENINTEGRATIONcm:property&gt;
        &lt;GENINTEGRATIONcm:property name="visibility"&gt;public&lt;/GENINTEGRATIONcm:property&gt;
        &lt;GENINTEGRATIONcm:property name="default"&gt;enabled&lt;/GENINTEGRATIONcm:property&gt;
        &lt;GENINTEGRATIONcm:property name="enabled"&gt;true&lt;/GENINTEGRATIONcm:property&gt;
        &lt;GENINTEGRATIONcm:property name="windowTarget"&gt;_blank&lt;/GENINTEGRATIONcm:property&gt;
 &lt;/GENINTEGRATIONcm:options&gt;
    &lt;/bGENINTEGRATION:extensions&gt;
    &lt;cartridge_bundle identifierref="BGENINTEGRATION001_Bundle"/&gt;
    &lt;cartridge_icon identifierref="BGENINTEGRATION001_Icon"/&gt;
&lt;/cartridge_demodata9_link&gt;  </v>
      </c>
      <c r="AD9" s="467" t="str">
        <f>_xlfn.CONCAT(UPPER(SUBSTITUTE(Concats!$A$8,"/","")))&amp;("_JLB_LMS1_XML"&amp;"")</f>
        <v>LINKEDIN_JLB_LMS1_XML</v>
      </c>
      <c r="AE9" s="468" t="s">
        <v>807</v>
      </c>
      <c r="AF9" s="467" t="str">
        <f>Concats!$B$27</f>
        <v xml:space="preserve">DemoData27:  Nonce7
DemoData72:  Nocne8
URL:  https://www.linkedin.com/in/jo-ann-balsamo/ </v>
      </c>
      <c r="AG9" s="467" t="str">
        <f>_xlfn.CONCAT(""&amp;(Concats!$B$30)&amp;"")</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AH9" s="467" t="str">
        <f>_xlfn.CONCAT(""&amp;(Concats!$B$33)&amp;"
"&amp;(Concats!$B$34)&amp;"
"&amp;(Concats!$B$35)&amp;"
"&amp;(Concats!$B$36)&amp;" "&amp;(HYPERLINK(_xlfn.CONCAT(Concats!$C$38),"How do I configure an external app for an account ... - Instructure Community (LMS1lms.com)"&amp;"
"&amp;(Concats!$B$37)&amp;" 
"&amp;(Concats!$B$39)&amp;"
"&amp;(Concats!$B$40)&amp;"
"&amp;(Concats!$B$41)&amp;"
"&amp;(Concats!$B$42)&amp;"
"&amp;(Concats!$B$43)&amp;"")))</f>
        <v>DRAFT
Attach: XML + LMS1 Client DemoData727e
Subject: DEMO / DemoData.com LMS1 Integration
TO: w.barnes@demodata.com; t.navarro@demodata.com; n.reed@demodata.com
CC:  leah.adler@FakeDemoData.com; gavin.park@FakeDemoData.com; m.chen@demodata.com
BCC: victoria.lane@FakeDemoData.com
Good Morning,
My name is Victoria Lane and I’ll be your Implementation Manager at DemoData.com, it’s nice to meet you virtually. If you could please pass this along to your LMS1 LMS AMistrator to set up the integration that would be great!
Thanks in advance for your efforts helping us to integrate DemoData.com as an GENINTEGRATION tool link into your LMS1 Learning Management System.
To set up DemoData.com as an "External App" in LMS1, we recommend the manual "Paste XML" method. Please see the MARKET2 XML that you can use to connect to your dedicated DemoData.com program/site.  
Below is the DemoData27/DemoData72 for you to make the connection to our service. This XML will deploy our app across all courses or whatever level you choose to install it. How do I configure an external app for an account ... - Instructure Community (LMS1lms.com)
Here is a link to help walk you through the install - 
DemoData27:  Nonce7
DemoData72:  Nocne8
URL:  https://www.linkedin.com/in/jo-ann-balsamo/ 
Once installed, please complete a couple of test student/teacher launches from a few different courses.
When the transactions are in, we’ll verify with you to make sure that we’re capturing and mapping the user and course IDs most usable for reporting purposes.
If you have any questions about the configuration, please don’t hesitate to reach out!
Thank you,</v>
      </c>
      <c r="AI9" s="500" t="s">
        <v>936</v>
      </c>
      <c r="AJ9" s="469" t="s">
        <v>610</v>
      </c>
      <c r="AK9" s="470"/>
      <c r="AL9" s="470"/>
      <c r="AM9" s="471" t="str">
        <f>_xlfn.CONCAT(""&amp;(Concats!$B$46)&amp;"
"&amp;(Concats!$B$47)&amp;"")</f>
        <v>DRAFT
Attach: Program Preferences Sheet
Subject: DEMO / Program Preferences Sheet
TO: w.barnes@demodata.com; t.navarro@demodata.com; n.reed@demodata.com
CC:  leah.adler@FakeDemoData.com; gavin.park@FakeDemoData.com; m.chen@demodata.com
BCC: victoria.lane@FakeDemoData.com
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AN9" s="472" t="str">
        <f>_xlfn.CONCAT(""&amp;(Concats!$B$49)&amp;"")</f>
        <v>DEMO LATEST:  https://www.linkedin.com/in/jo-ann-balsamo
Username: linkedin@PRODUCT4.com 
PW: DemoData2026</v>
      </c>
      <c r="AO9" s="473" t="str">
        <f>_xlfn.CONCAT(""&amp;(Concats!$B$51)&amp;"")</f>
        <v>DEMO AP: https://www.linkedin.com/in//linkedin/AM
Username: linkedin@PRODUCT4.com
PW: DemoData2026</v>
      </c>
      <c r="AP9" s="474" t="str">
        <f t="shared" si="1"/>
        <v>Connecticut (CT)</v>
      </c>
      <c r="AQ9" s="475" t="s">
        <v>293</v>
      </c>
      <c r="AR9" s="476" t="s">
        <v>294</v>
      </c>
      <c r="AS9" s="477" t="s">
        <v>266</v>
      </c>
      <c r="AT9" s="478" t="s">
        <v>641</v>
      </c>
      <c r="AU9" s="521" t="s">
        <v>641</v>
      </c>
      <c r="AV9" s="522">
        <v>65</v>
      </c>
      <c r="AW9" s="501"/>
      <c r="AX9" s="533" t="s">
        <v>655</v>
      </c>
      <c r="AY9" s="504" t="s">
        <v>296</v>
      </c>
      <c r="AZ9" s="505" t="s">
        <v>205</v>
      </c>
      <c r="BA9" s="505" t="s">
        <v>610</v>
      </c>
      <c r="BB9" s="505" t="s">
        <v>596</v>
      </c>
      <c r="BC9" s="486" t="str">
        <f>_xlfn.CONCAT(""&amp;(Concats!$K$74)&amp;"
"&amp;(Concats!$K$75)&amp;"
"&amp;(Concats!$K$76)&amp;"
"&amp;(Concats!$K$77)&amp;"
"&amp;(Concats!$K$78)&amp;"
"&amp;(Concats!$K$79)&amp;"
"&amp;(Concats!$K$80)&amp;"
"&amp;(Concats!$K$81)&amp;"
"&amp;(Concats!$K$82)&amp;"")</f>
        <v xml:space="preserve">DRAFT
Attach: JLB Client DemoData727e -Rostering Using WinSCP
Subject: DEMO / DemoData.com SFTP Rostering
TO: w.barnes@demodata.com; t.navarro@demodata.com; n.reed@demodata.com
CC:  leah.adler@FakeDemoData.com; gavin.park@FakeDemoData.com; m.chen@demodata.com
BCC: victoria.lane@FakeDemoData.com
Good Morning,
I am excited to partner with the DEMO team to set up SFTP Rostering with DemoData.com.
To get started, I have included an overview of the DemoData.com Rostering Using WinSCP process. Please Note: Although we provide instructions for WinSCP, it is not required, and you may use a different SFTP client if you prefer.
Next steps would be to confirm your rostering method if, for some reason, you are not intending to roster via SFTP. 
Once SFTP rostering is confirmed, you can follow the steps in Part I of the MARKET2 DemoData727e to generate and send me your public DemoData27 file. I will then provide a host name and let you know that it is okay to proceed to Part II of the DemoData727e. Once you notify me that Part II is complete and you have initiated the transfer of your roster files, our development team will begin the data verification process.
An important aspect of the verification process is specific to the username formats received in the roster files. In order to maintain data continuity, the username that we receive from the SFTP files will need to match the username format that is being passed from the current LMS1 - GENINTEGRATION 31 Link &amp; Course NAV integration.
It appears that DEMO is passing the user's ***INSERT FORMAT AND/OR DESCRIPTION OF USERNAME BEING PASSED*** as the username - please see the screenshot below for reference.
***Insert Screenshot of Client's Usernames from SQL Query***
Please let me know if you have any questions now or along the way.
Hope you have a great day!
Thank you, 
</v>
      </c>
      <c r="BE9" s="898" t="s">
        <v>597</v>
      </c>
      <c r="BF9" s="899"/>
      <c r="BG9" s="900"/>
      <c r="BI9" s="264" t="str">
        <f t="shared" si="3"/>
        <v>g  |  G</v>
      </c>
      <c r="BJ9" s="507" t="s">
        <v>172</v>
      </c>
      <c r="BK9" s="487" t="str">
        <f t="shared" si="2"/>
        <v>G</v>
      </c>
    </row>
    <row r="10" spans="1:64" ht="45" customHeight="1" thickBot="1" x14ac:dyDescent="0.6">
      <c r="A10" s="534" t="s">
        <v>297</v>
      </c>
      <c r="B10" s="456" t="s">
        <v>876</v>
      </c>
      <c r="C10" s="509" t="s">
        <v>871</v>
      </c>
      <c r="D10" s="458" t="s">
        <v>743</v>
      </c>
      <c r="E10" s="459" t="str">
        <f>IF('Program Config'!$C$30&lt;&gt;"",'Program Config'!$C$30,"This component has not been configured yet")</f>
        <v>Nonce7</v>
      </c>
      <c r="F10" s="458" t="s">
        <v>726</v>
      </c>
      <c r="G10" s="459" t="str">
        <f>IF('Program Config'!$C$31&lt;&gt;"",'Program Config'!$C$31,"This component has not been configured yet")</f>
        <v>Nocne8</v>
      </c>
      <c r="H10" s="460" t="s">
        <v>260</v>
      </c>
      <c r="I10" s="459" t="s">
        <v>260</v>
      </c>
      <c r="J10" s="460" t="s">
        <v>260</v>
      </c>
      <c r="K10" s="459" t="s">
        <v>260</v>
      </c>
      <c r="L10" s="458" t="s">
        <v>260</v>
      </c>
      <c r="M10" s="459" t="s">
        <v>260</v>
      </c>
      <c r="N10" s="513" t="s">
        <v>872</v>
      </c>
      <c r="O10" s="458" t="s">
        <v>743</v>
      </c>
      <c r="P10" s="459" t="str">
        <f>IF('Program Config'!$C$30&lt;&gt;"",'Program Config'!$C$30,"This component has not been configured yet")</f>
        <v>Nonce7</v>
      </c>
      <c r="Q10" s="460" t="s">
        <v>726</v>
      </c>
      <c r="R10" s="493" t="str">
        <f>IF('Program Config'!$C$31&lt;&gt;"",'Program Config'!$C$31,"This component has not been configured yet")</f>
        <v>Nocne8</v>
      </c>
      <c r="S10" s="495" t="str">
        <f>IF('Program Config'!$J$1="LEGACY","LEGACY GENINTEGRATION 22 EP", "LATEST GENINTEGRATION 22 EP")</f>
        <v>LATEST GENINTEGRATION 22 EP</v>
      </c>
      <c r="T10" s="514" t="s">
        <v>610</v>
      </c>
      <c r="U10" s="497" t="s">
        <v>610</v>
      </c>
      <c r="V10" s="458" t="s">
        <v>260</v>
      </c>
      <c r="W10" s="464" t="s">
        <v>260</v>
      </c>
      <c r="X10" s="459" t="s">
        <v>260</v>
      </c>
      <c r="Y10" s="458" t="s">
        <v>260</v>
      </c>
      <c r="Z10" s="459" t="s">
        <v>260</v>
      </c>
      <c r="AA10" s="459" t="s">
        <v>260</v>
      </c>
      <c r="AB10" s="112" t="s">
        <v>261</v>
      </c>
      <c r="AC10" s="466" t="str">
        <f>_xlfn.CONCAT("&lt;?xml version="&amp; (Concats!$A$1)&amp;"1.0"&amp; (Concats!$A$1)&amp;" encoding="&amp; (Concats!$A$1)&amp;"UTF-8"&amp; (Concats!$A$1)&amp;"?&gt;
"&amp;(Concats!$D$3)&amp;"
"&amp;(Concats!$D$4)&amp;"
"&amp;(Concats!$D$5)&amp;"
"&amp;(Concats!$D$6)&amp;"
"&amp;(Concats!$D$11)&amp;"
"&amp;(Concats!$D$12)&amp;
""&amp;(Concats!$D$13)&amp;"")</f>
        <v xml:space="preserve">&lt;?xml version="1.0" encoding="UTF-8"?&gt;
&lt;cartridge_demodata9_link xmlns="https://www.linkedin.com/in/jo-ann-balsamo"
    xmlns:bGENINTEGRATION = "https://www.linkedin.com/in/jo-ann-balsamo"
    xmlns:GENINTEGRATIONcm ="https://www.linkedin.com/in/jo-ann-balsamo"
    xmlns:GENINTEGRATIONcp ="https://www.linkedin.com/in/jo-ann-balsamo"
    xmlns:xsi = "https://www.linkedin.com/in/jo-ann-balsamo"
    xsi:schemaLocation = "https://www.linkedin.com/in/jo-ann-balsamo"&gt;
https://www.linkedin.com/in/jo-ann-balsamo
    https://www.linkedin.com/in/jo-ann-balsamo https://www.linkedin.com/in/jo-ann-balsamo
    https://www.linkedin.com/in/jo-ann-balsamo
 https://www.linkedin.com/in/jo-ann-balsamo
    https://www.linkedin.com/in/jo-ann-balsamo
 https://www.linkedin.com/in/jo-ann-balsamo"&gt;
    &lt;bGENINTEGRATION:title&gt;DemoData.com: 24/7 Online DemoDataing&lt;/bGENINTEGRATION:title&gt;
    &lt;bGENINTEGRATION:description&gt;Connect with a DemoData now for real-time, one-to-one help.  No appointment required.&lt;/bGENINTEGRATION:description&gt;
&lt;bGENINTEGRATION:icon&gt;&lt;/bGENINTEGRATION:icon&gt;
    &lt;bGENINTEGRATION:launch_url&gt;https://www.linkedin.com/in/jo-ann-balsamo/&lt;/bGENINTEGRATION:launch_url&gt;
    &lt;bGENINTEGRATION:extensions platform="LMS1.instructure.com"&gt;
&lt;GENINTEGRATIONcm:property name="tool_id"&gt;JLB_JLB_321&lt;/GENINTEGRATIONcm:property&gt;
      &lt;GENINTEGRATIONcm:property name="privacy_level"&gt;public&lt;/GENINTEGRATIONcm:property&gt;
      &lt;GENINTEGRATIONcm:property name="domain"&gt;api.DemoData3.com&lt;/GENINTEGRATIONcm:property&gt;
      &lt;GENINTEGRATIONcm:options name="course_navigation"&gt;
&lt;GENINTEGRATIONcm:property name="url"&gt;https://www.linkedin.com/in/jo-ann-balsamo/&lt;/GENINTEGRATIONcm:property&gt;
        &lt;GENINTEGRATIONcm:property name="text"&gt;DemoData.com: 24/7 Online DemoDataing&lt;/GENINTEGRATIONcm:property&gt;
        &lt;GENINTEGRATIONcm:property name="visibility"&gt;public&lt;/GENINTEGRATIONcm:property&gt;
        &lt;GENINTEGRATIONcm:property name="default"&gt;disabled&lt;/GENINTEGRATIONcm:property&gt;
        &lt;GENINTEGRATIONcm:property name="disabled"&gt;true&lt;/GENINTEGRATIONcm:property&gt;
        &lt;GENINTEGRATIONcm:property name="windowTarget"&gt;_blank&lt;/GENINTEGRATIONcm:property&gt; &lt;/GENINTEGRATIONcm:options&gt;
    &lt;/bGENINTEGRATION:extensions&gt;
    &lt;cartridge_bundle identifierref="BGENINTEGRATION001_Bundle"/&gt;
    &lt;cartridge_icon identifierref="BGENINTEGRATION001_Icon"/&gt;
&lt;/cartridge_demodata9_link&gt;  </v>
      </c>
      <c r="AD10" s="467" t="str">
        <f>_xlfn.CONCAT(UPPER(SUBSTITUTE(Concats!$A$8,"/","")))&amp;("_JLB_LMS1_XML"&amp;"")</f>
        <v>LINKEDIN_JLB_LMS1_XML</v>
      </c>
      <c r="AE10" s="468" t="s">
        <v>808</v>
      </c>
      <c r="AF10" s="467" t="str">
        <f>Concats!$D$27</f>
        <v xml:space="preserve">DemoData27:  Nonce7
DemoData72:  Nocne8
URL:  https://www.linkedin.com/in/jo-ann-balsamo/ </v>
      </c>
      <c r="AG10" s="467" t="str">
        <f>_xlfn.CONCAT(""&amp;(Concats!$D$30)&amp;"")</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AH10" s="467" t="str">
        <f>_xlfn.CONCAT(""&amp;(Concats!$D$33)&amp;"
"&amp;(Concats!$D$34)&amp;"
"&amp;(Concats!$D$35)&amp;"
"&amp;(Concats!$D$36)&amp;"
"&amp;(Concats!$D$37)&amp;" "&amp;(HYPERLINK(_xlfn.CONCAT(Concats!E$38),(Concats!$D$38)))&amp;"
"&amp;(Concats!$D$39)&amp;"
"&amp;(Concats!$D$40)&amp;"
"&amp;(Concats!$D$41)&amp;"
"&amp;(Concats!$D$42)&amp;"
"&amp;(Concats!$D$43)&amp;"")</f>
        <v>DRAFT
Attach: XML + LMS1 Client DemoData727e
Subject: DEMO / DemoData.com LMS1 Integration
TO: w.barnes@demodata.com; t.navarro@demodata.com; n.reed@demodata.com
CC:  leah.adler@FakeDemoData.com; gavin.park@FakeDemoData.com; m.chen@demodata.com
BCC: victoria.lane@FakeDemoData.com
Good Morning,
My name is Victoria Lane and I’ll be your Implementation Manager at DemoData.com, it’s nice to meet you virtually. If you could please pass this along to your LMS1 LMS AMistrator to set up the integration that would be great!
Thanks in advance for your efforts helping us to integrate DemoData.com as an GENINTEGRATION tool link into your LMS1 Learning Management System.
To set up DemoData.com as an "External App" in LMS1, we recommend the manual "Paste XML" method. Please see the MARKET2 XML that you can use to connect to your dedicated DemoData.com program/site.  
Below is the DemoData27/DemoData72 for you to make the connection to our service. This XML will deploy our app across all courses or whatever level you choose to install it.
Here is a link to help walk you through the install - How do I configure an external app for an account ... - Instructure Community (LMS1lms.com)
DemoData27:  Nonce7
DemoData72:  Nocne8
URL:  https://www.linkedin.com/in/jo-ann-balsamo/ 
Once installed, please complete a couple of test student/teacher launches from a few different courses.
When the transactions are in, we’ll verify with you to make sure that we’re capturing and mapping the user and course IDs most usable for reporting purposes.
If you have any questions about the configuration, please don’t hesitate to reach out!
Thank you,</v>
      </c>
      <c r="AI10" s="500" t="s">
        <v>936</v>
      </c>
      <c r="AJ10" s="469" t="s">
        <v>610</v>
      </c>
      <c r="AK10" s="470"/>
      <c r="AL10" s="470"/>
      <c r="AM10" s="471" t="str">
        <f>_xlfn.CONCAT(""&amp;(Concats!$D$46)&amp;"
"&amp;(Concats!$D$47)&amp;"")</f>
        <v>DRAFT
Attach: Program Preferences Sheet
Subject: DEMO / Program Preferences Sheet
TO: w.barnes@demodata.com; t.navarro@demodata.com; n.reed@demodata.com
CC:  leah.adler@FakeDemoData.com; gavin.park@FakeDemoData.com; m.chen@demodata.com
BCC: victoria.lane@FakeDemoData.com
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AN10" s="472" t="str">
        <f>_xlfn.CONCAT(""&amp;(Concats!$D$49)&amp;"")</f>
        <v>DEMO LATEST:  https://www.linkedin.com/in/jo-ann-balsamo
Username: linkedin@PRODUCT4.com 
PW: DemoData2026</v>
      </c>
      <c r="AO10" s="473" t="str">
        <f>_xlfn.CONCAT(""&amp;(Concats!$D$51)&amp;"")</f>
        <v>DEMO AP: https://www.linkedin.com/in//linkedin/AM
Username: linkedin@PRODUCT4.com
PW: DemoData2026</v>
      </c>
      <c r="AP10" s="474" t="str">
        <f t="shared" si="1"/>
        <v>Delaware (DE)</v>
      </c>
      <c r="AQ10" s="475" t="s">
        <v>298</v>
      </c>
      <c r="AR10" s="476" t="s">
        <v>299</v>
      </c>
      <c r="AT10" s="533" t="s">
        <v>266</v>
      </c>
      <c r="AU10" s="521" t="s">
        <v>295</v>
      </c>
      <c r="AV10" s="522"/>
      <c r="AW10" s="501"/>
      <c r="AX10" s="478" t="s">
        <v>661</v>
      </c>
      <c r="AY10" s="504" t="s">
        <v>703</v>
      </c>
      <c r="AZ10" s="505" t="s">
        <v>205</v>
      </c>
      <c r="BA10" s="505" t="s">
        <v>610</v>
      </c>
      <c r="BB10" s="505" t="s">
        <v>598</v>
      </c>
      <c r="BC10" s="486" t="str">
        <f>_xlfn.CONCAT(""&amp;(Concats!$L$74)&amp;"
"&amp;(Concats!$L$75)&amp;"
"&amp;(Concats!$L$76)&amp;"
"&amp;(Concats!$L$77)&amp;"
"&amp;(Concats!$L$78)&amp;"
"&amp;(Concats!$L$79)&amp;"
"&amp;(Concats!$L$80)&amp;"
"&amp;(Concats!$L$81)&amp;"
"&amp;(Concats!$L$82)&amp;"")</f>
        <v xml:space="preserve">DRAFT
Attach:JLB Client DemoData727e -Rostering Using WinSCP
Subject: DEMO / DemoData.com SFTP Rostering + PROD7
TO: w.barnes@demodata.com; t.navarro@demodata.com; n.reed@demodata.com
CC:  leah.adler@FakeDemoData.com; gavin.park@FakeDemoData.com; m.chen@demodata.com
BCC: victoria.lane@FakeDemoData.com
Good Morning,
I am excited to partner with the DEMO team to set up SFTP Rostering with the DemoData.com Teacher Dashboard.
To get started, I have included an overview of the DemoData.com Rostering Using WinSCP process. Please Note: Although we provide instructions for WinSCP, it is not required, and you may use a different SFTP client if you prefer.
Next steps would be to confirm your rostering method if, for some reason, you are not intending to roster via SFTP. 
Once SFTP rostering is confirmed, you can follow the steps in Part I of the MARKET2 DemoData727e to generate and send me your public DemoData27 file. I will then provide a host name and let you know that it is okay to proceed to Part II of the DemoData727e. Once you notify me that Part II is complete and you have initiated the transfer of your roster files, our development team will begin the data verification process.
An important aspect of the verification process is specific to the username formats received in the roster files. In order to maintain data continuity, the username that we receive from the SFTP files will need to match the username format that is being passed from the current LMS1 - GENINTEGRATION 31 Link &amp; Course NAV integration.
It appears that DEMO is passing the user's ***INSERT FORMAT AND/OR DESCRIPTION OF USERNAME BEING PASSED*** as the username - please see the screenshot below for reference.
***Insert Screenshot of Client's Usernames from SQL Query***
Please let me know if you have any questions now or along the way.
Hope you have a great day!
Thank you, 
</v>
      </c>
      <c r="BE10" s="901" t="s">
        <v>300</v>
      </c>
      <c r="BF10" s="902"/>
      <c r="BG10" s="903"/>
      <c r="BI10" s="264" t="str">
        <f t="shared" si="3"/>
        <v>h  |  H</v>
      </c>
      <c r="BJ10" s="507" t="s">
        <v>173</v>
      </c>
      <c r="BK10" s="487" t="str">
        <f t="shared" si="2"/>
        <v>H</v>
      </c>
    </row>
    <row r="11" spans="1:64" ht="45" customHeight="1" thickBot="1" x14ac:dyDescent="0.6">
      <c r="A11" s="536" t="s">
        <v>301</v>
      </c>
      <c r="B11" s="456" t="s">
        <v>855</v>
      </c>
      <c r="C11" s="509" t="s">
        <v>851</v>
      </c>
      <c r="D11" s="510" t="s">
        <v>852</v>
      </c>
      <c r="E11" s="511" t="s">
        <v>610</v>
      </c>
      <c r="F11" s="510" t="s">
        <v>764</v>
      </c>
      <c r="G11" s="511" t="s">
        <v>274</v>
      </c>
      <c r="H11" s="512" t="s">
        <v>760</v>
      </c>
      <c r="I11" s="511" t="str" cm="1">
        <f t="array" ref="I11">_xlfn.IFS('Program Config'!$H$14="PROD","https://www.linkedin.com/in/jo-ann-balsamo", 'Program Config'!$H$14="STG / Test", "https://www.linkedin.com/in/jo-ann-balsamo", TRUE, "Please Selct an LMS Environment from the drop-down menu")</f>
        <v>Please Selct an LMS Environment from the drop-down menu</v>
      </c>
      <c r="J11" s="512" t="s">
        <v>745</v>
      </c>
      <c r="K11" s="511" t="str" cm="1">
        <f t="array" ref="K11">_xlfn.IFS('Program Config'!$H$14="PROD","https://www.linkedin.com/in/jo-ann-balsamo", 'Program Config'!$H$14="STG / Test", "https://www.linkedin.com/in/jo-ann-balsamo", TRUE, "Please Selct an LMS Environment from the drop-down menu")</f>
        <v>Please Selct an LMS Environment from the drop-down menu</v>
      </c>
      <c r="L11" s="510" t="s">
        <v>273</v>
      </c>
      <c r="M11" s="511" t="s">
        <v>274</v>
      </c>
      <c r="N11" s="513" t="s">
        <v>853</v>
      </c>
      <c r="O11" s="510" t="s">
        <v>275</v>
      </c>
      <c r="P11" s="511" t="str">
        <f>IF('Program Config'!$C$34="n/a","n/a",IF(AND('Program Config'!$C$34&lt;&gt;"",'Program Config'!$C$28&lt;&gt;""),_xlfn.CONCAT("https://www.linkedin.com/in/jo-ann-balsamo"&amp;(SUBSTITUTE('Program Config'!$C$34,"https://www.linkedin.com/in/jo-ann-balsamo",""))&amp;"/"&amp;('Program Config'!$C$28)&amp;""),"This component requires the DemoData3 Client URL &amp; the Program DemoData727"))</f>
        <v>https://www.linkedin.com/in/jo-ann-balsamo//NONCE-nonce-NONCE2-nonce3-nonce</v>
      </c>
      <c r="Q11" s="512" t="s">
        <v>764</v>
      </c>
      <c r="R11" s="511" t="str">
        <f>IF('Program Config'!G44&lt;&gt;"","This component will be configured by DemoData3","This component will be configured by DemoData3")</f>
        <v>This component will be configured by DemoData3</v>
      </c>
      <c r="S11" s="512" t="s">
        <v>273</v>
      </c>
      <c r="T11" s="514" t="str">
        <f>IF('Program Config'!G44&lt;&gt;"","This component will be configured by DemoData3","This component will be configured by DemoData3")</f>
        <v>This component will be configured by DemoData3</v>
      </c>
      <c r="U11" s="515" t="str">
        <f>IF('Program Config'!H44&lt;&gt;"","This component will be configured by DemoData3","This component will be configured by DemoData3")</f>
        <v>This component will be configured by DemoData3</v>
      </c>
      <c r="V11" s="510" t="str">
        <f>IF('Program Config'!$J$1="LEGACY","LEGACY ILU", "LATEST ILU")</f>
        <v>LATEST ILU</v>
      </c>
      <c r="W11" s="516" t="s">
        <v>610</v>
      </c>
      <c r="X11" s="517" t="s">
        <v>610</v>
      </c>
      <c r="Y11" s="510" t="str">
        <f>IF('Program Config'!$J$1="LEGACY","LEGACY Redirection URL", "LATEST Redirection URL")</f>
        <v>LATEST Redirection URL</v>
      </c>
      <c r="Z11" s="511" t="s">
        <v>610</v>
      </c>
      <c r="AA11" s="517" t="s">
        <v>610</v>
      </c>
      <c r="AB11" s="537" t="s">
        <v>302</v>
      </c>
      <c r="AC11" s="538" t="str">
        <f>_xlfn.CONCAT(""&amp;(Concats!$S$2)&amp;""&amp;(Concats!$S$3)&amp;""&amp;(Concats!$S$4)&amp;""&amp;(Concats!$S$5)&amp;""&amp;(Concats!$S$6)&amp;"
"&amp;(Concats!$S$7)&amp;""&amp;(Concats!$S$8)&amp;"
"&amp;(Concats!$S$9)&amp;""&amp;(Concats!$S$10)&amp;"
"&amp;(Concats!$S$11)&amp;""&amp;(Concats!$S$12)&amp;"
"&amp;(Concats!$S$13)&amp;""&amp;(Concats!$S$14)&amp;"
"&amp;(Concats!$S$15)&amp;""&amp;(Concats!$S$16)&amp;"
"&amp;(Concats!$S$17)&amp;""&amp;(Concats!$S$18)&amp;"
"&amp;(Concats!$S$19)&amp;""&amp;(Concats!$S$20)&amp;"")</f>
        <v>{
    "title": "DemoData.com GENINTEGRATION 31",
    "scopes": [],
    "extensions": [
        {
            "platform": "LMS1.instructure.com",
            "settings": {
                "platform": "LMS1.instructure.com",
                "placements": [
                    {
                        "text": "DemoData.com",
                        "placement": "link_selection",
                        "message_type": "GENINTEGRATIONResourceLinkRequest",
                        "windowTarget": "_blank",
                        "target_link_uri": "https://www.linkedin.com/in/jo-ann-balsamo/"
                    },
                   {
                        "text": "DemoData.com",
                        "placement": "course_navigation",
                        "message_type": "GENINTEGRATIONResourceLinkRequest",
                        "windowTarget": "_blank",
                        "target_link_uri": "https://www.linkedin.com/in/jo-ann-balsamo/"
                    }
                          ]
            },
            "privacy_level": "public"
        }
    ],
    "public_jwk": {
        "e": "AQAB",
        "n": "r1TzaUsgF6OhsT_6Q12z9s3loqC5iRd89M3ZLh1TOsOxxecIZXbqnSYOaCM4Nf37sUKJoOor3a-lLjTGndL8xpGV1t6X6quNlU9emRTtu5I9umxxBC9PInWTWTKJyO5G1GSDAovPK4nHBcQ-sqI59Ama0pRf0SGfZOhhqq_dqkK0x3dMYMPCu1YYmtz-HoNbuiQyqpDTgKYZkbsfSn4CapGBc9xoqQtoAyRJQd34KrFXj-RBNSITL5lNxAUvplc6_y5RXCTmmEQs4-v7-npFJkZTxhbE_WG5gtG8JwrbZKqGSioYQXnlp-mF5EeAntDs4AaTPBwjR9XnfXN0URS9gw",
        "alg": "RS256",
        "kid": "sig-2022-03-30T15:54:06Z",
        "kty": "RSA",
        "use": "sig"
    },
    "description": "DemoData.com GENINTEGRATION 31",
    "windowTarget": "_blank",
    "custom_fields": {
        "custom_ap": "DEMO",
        "OA_consumer_DemoData27": "Nonce7"
    },
    "public_jwk_url": "https://www.linkedin.com/in/jo-ann-balsamo//DemoData27set",
    "target_link_uri": "https://www.linkedin.com/in/jo-ann-balsamo/",
    "oidc_initiation_url": "https://www.linkedin.com/in/jo-ann-balsamo/"
 }</v>
      </c>
      <c r="AD11" s="467" t="str">
        <f>_xlfn.CONCAT(UPPER(SUBSTITUTE(Concats!$A$8,"/","")))&amp;("_GENINTEGRATION_31_LMS1_JSON")&amp;""</f>
        <v>LINKEDIN_GENINTEGRATION_31_LMS1_JSON</v>
      </c>
      <c r="AE11" s="468" t="str">
        <f>IF(AND('Program Config'!H14&lt;&gt;"",'Program Config'!H14&lt;&gt;"n/a"),_xlfn.CONCAT("CAN_Link_Course_"&amp;(LEFT('Program Config'!H14,4))&amp;"_GENINTEGRATION_1-3"),"CAN_Link_Course_GENINTEGRATION_1-3")</f>
        <v>CAN_Link_Course_GENINTEGRATION_1-3</v>
      </c>
      <c r="AF11" s="467" t="str">
        <f>Concats!$S$27</f>
        <v xml:space="preserve">DemoData27:  Nonce7
DemoData72:  Nocne8
URL:  https://www.linkedin.com/in/jo-ann-balsamo/ </v>
      </c>
      <c r="AG11" s="467" t="str">
        <f>_xlfn.CONCAT(""&amp;(Concats!$S$30)&amp;"")</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AH11" s="467" t="str">
        <f>_xlfn.CONCAT(""&amp;(Concats!$S$33)&amp;"
"&amp;(Concats!$S$34)&amp;""&amp;(Concats!$S$35)&amp;"
"&amp;(Concats!$S$36)&amp;"
"&amp;(Concats!$S$37)&amp;" 
"&amp;(Concats!$S$38)&amp;" 
"&amp;(Concats!$S$39)&amp;"
"&amp;(Concats!$S$40)&amp;"
"&amp;(Concats!$S$41)&amp;" "&amp;(Concats!$S$42)&amp;"
"&amp;(Concats!$S$43)&amp;"")</f>
        <v>DRAFT
Attach: JLB Client DemoData727e LMS1 GENINTEGRATION 31 + JSON
Subject: DEMO / DemoData.com LMS1 Integration
TO: w.barnes@demodata.com; t.navarro@demodata.com; n.reed@demodata.com
CC:  leah.adler@FakeDemoData.com; gavin.park@FakeDemoData.com; m.chen@demodata.com
BCC: victoria.lane@FakeDemoData.com
Good Morning,
Thank you, in advance, for helping us integrate DemoData.com as an GENINTEGRATION tool in your LMS1 LMS.
To set up DemoData.com as an External App in LMS1, we recommend the "Paste JSON" method. Please use the MARKET2 JSON to connect to your dedicated DemoData.com program. 
You will also have to paste a redirect link into LMS1.  The redirect link is: https://www.linkedin.com/in/jo-ann-balsamo/
In order to complete the configuration, we will need 2 pieces of information from your set up:
      1.  The CID - Highlighted in Step 7 on Page 3 of the MARKET2 LMS1 Client DemoData727e 
      2.  The Deployment ID - Highlighted in Step 9 on Page 7 of the MARKET2 LMS1 Client DemoData727e 
You can reply to this Type1 to send me both the CID and the Deployment ID; I will respond to let you know the configuration has been completed and it is okay to proceed with testing.
Please Note:  The tool will not launch until both the CID and Deployment ID are added to the configuration.
Once ready, please let me know when you have completed a couple of tests by launching from both student and teacher accounts in varying courses. I will review the data to verify that we have captured /mapped the user and course IDs most suitable for reporting.
If you have any questions about the configuration, please let me know.
Thank you,</v>
      </c>
      <c r="AI11" s="500" t="s">
        <v>937</v>
      </c>
      <c r="AJ11" s="469" t="s">
        <v>610</v>
      </c>
      <c r="AK11" s="500" t="s">
        <v>938</v>
      </c>
      <c r="AL11" s="470" t="s">
        <v>610</v>
      </c>
      <c r="AM11" s="471" t="str">
        <f>_xlfn.CONCAT(""&amp;(Concats!$S$46)&amp;"
"&amp;(Concats!$S$47)&amp;"")</f>
        <v>DRAFT
Attach: Program Preferences Sheet
Subject: DEMO / Program Preferences Sheet
TO: w.barnes@demodata.com; t.navarro@demodata.com; n.reed@demodata.com
CC:  leah.adler@FakeDemoData.com; gavin.park@FakeDemoData.com; m.chen@demodata.com
BCC: victoria.lane@FakeDemoData.com
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AN11" s="472" t="str">
        <f>_xlfn.CONCAT(""&amp;(Concats!$S$49)&amp;"")</f>
        <v>DEMO LATEST:  https://www.linkedin.com/in/jo-ann-balsamo
Username: linkedin@PRODUCT4.com 
PW: DemoData2026</v>
      </c>
      <c r="AO11" s="473" t="str">
        <f>_xlfn.CONCAT(""&amp;(Concats!$S$51)&amp;"")</f>
        <v>DEMO AP: https://www.linkedin.com/in//linkedin/AM
Username: linkedin@PRODUCT4.com
PW: DemoData2026</v>
      </c>
      <c r="AP11" s="474" t="str">
        <f t="shared" si="1"/>
        <v>Florida (FL)</v>
      </c>
      <c r="AQ11" s="475" t="s">
        <v>303</v>
      </c>
      <c r="AR11" s="496" t="s">
        <v>304</v>
      </c>
      <c r="AS11" s="523" t="s">
        <v>305</v>
      </c>
      <c r="AU11" s="539" t="s">
        <v>266</v>
      </c>
      <c r="AV11" s="540"/>
      <c r="AX11" s="478" t="s">
        <v>643</v>
      </c>
      <c r="AY11" s="504" t="s">
        <v>704</v>
      </c>
      <c r="AZ11" s="505" t="s">
        <v>595</v>
      </c>
      <c r="BA11" s="505" t="s">
        <v>610</v>
      </c>
      <c r="BB11" s="505" t="s">
        <v>599</v>
      </c>
      <c r="BC11" s="486" t="str">
        <f>_xlfn.CONCAT(""&amp;(Concats!$M$74)&amp;"
"&amp;(Concats!$M$75)&amp;"
"&amp;(Concats!$M$76)&amp;"
"&amp;(Concats!$M$77)&amp;"
"&amp;(Concats!$M$78)&amp;"
"&amp;(Concats!$M$79)&amp;"
"&amp;(Concats!$M$80)&amp;"
"&amp;(Concats!$M$81)&amp;"
"&amp;(Concats!$M$82)&amp;"")</f>
        <v xml:space="preserve">DRAFT
Attach: JLB Client DemoData727e -Rostering Using WinSCP
Subject: DEMO / DemoData.com SFTP Rostering + PROD7 + PRODUCT2
TO: w.barnes@demodata.com; t.navarro@demodata.com; n.reed@demodata.com
CC:  leah.adler@FakeDemoData.com; gavin.park@FakeDemoData.com; m.chen@demodata.com
BCC: victoria.lane@FakeDemoData.com
Good Morning,
I am excited to partner with the DEMO team to set up SFTP Rostering with the DemoData.com Teacher Dashboard and High Dosage DemoDataing.
To get started, I have included an overview of the DemoData.com Rostering Using WinSCP process. Please Note: Although we provide instructions for WinSCP, it is not required, and you may use a different SFTP client if you prefer.
Next steps would be to confirm your rostering method if, for some reason, you are not intending to roster via SFTP. 
Once SFTP rostering is confirmed, you can follow the steps in Part I of the MARKET2 DemoData727e to generate and send me your public DemoData27 file. I will then provide a host name and let you know that it is okay to proceed to Part II of the DemoData727e. Once you notify me that Part II is complete and you have initiated the transfer of your roster files, our development team will begin the data verification process.
An important aspect of the verification process is specific to the username formats received in the roster files. In order to maintain data continuity, the username that we receive from the SFTP files will need to match the username format that is being passed from the current LMS1 - GENINTEGRATION 31 Link &amp; Course NAV integration.
It appears that DEMO is passing the user's ***INSERT FORMAT AND/OR DESCRIPTION OF USERNAME BEING PASSED*** as the username - please see the screenshot below for reference.
***Insert Screenshot of Client's Usernames from SQL Query***
Please let me know if you have any questions now or along the way.
Hope you have a great day!
Thank you, 
</v>
      </c>
      <c r="BD11" s="897" t="str">
        <f>_xlfn.CONCAT(""&amp;(Concats!B72)&amp;"")</f>
        <v>Regarding the DEMODATA:
•	CLIENT specific demodata.
If you have any questions, please contact me.
Thank you,</v>
      </c>
      <c r="BE11" s="897"/>
      <c r="BF11" s="897"/>
      <c r="BG11" s="897"/>
      <c r="BH11" s="897"/>
      <c r="BI11" s="264" t="str">
        <f t="shared" si="3"/>
        <v>i  |  I</v>
      </c>
      <c r="BJ11" s="507" t="s">
        <v>174</v>
      </c>
      <c r="BK11" s="487" t="str">
        <f t="shared" si="2"/>
        <v>I</v>
      </c>
    </row>
    <row r="12" spans="1:64" ht="45" customHeight="1" x14ac:dyDescent="0.55000000000000004">
      <c r="A12" s="542" t="s">
        <v>306</v>
      </c>
      <c r="B12" s="456" t="s">
        <v>856</v>
      </c>
      <c r="C12" s="509" t="s">
        <v>851</v>
      </c>
      <c r="D12" s="510" t="s">
        <v>852</v>
      </c>
      <c r="E12" s="511" t="str" cm="1">
        <f t="array" ref="E12">_xlfn.IFS('Program Config'!$H$14="PROD","https://www.linkedin.com/in/jo-ann-balsamo", 'Program Config'!$H$14="STG / Test", "https://www.linkedin.com/in/jo-ann-balsamo", TRUE, "Please Selct an LMS Environment from the drop-down menu")</f>
        <v>Please Selct an LMS Environment from the drop-down menu</v>
      </c>
      <c r="F12" s="510" t="s">
        <v>764</v>
      </c>
      <c r="G12" s="511" t="s">
        <v>274</v>
      </c>
      <c r="H12" s="512" t="s">
        <v>760</v>
      </c>
      <c r="I12" s="511" t="str" cm="1">
        <f t="array" ref="I12">_xlfn.IFS('Program Config'!$H$14="PROD","https://www.linkedin.com/in/jo-ann-balsamo", 'Program Config'!$H$14="STG / Test", "https://www.linkedin.com/in/jo-ann-balsamo", TRUE, "Please Selct an LMS Environment from the drop-down menu")</f>
        <v>Please Selct an LMS Environment from the drop-down menu</v>
      </c>
      <c r="J12" s="512" t="s">
        <v>745</v>
      </c>
      <c r="K12" s="511" t="str" cm="1">
        <f t="array" ref="K12">_xlfn.IFS('Program Config'!$H$14="PROD","https://www.linkedin.com/in/jo-ann-balsamo", 'Program Config'!$H$14="STG / Test", "https://www.linkedin.com/in/jo-ann-balsamo", TRUE, "Please Selct an LMS Environment from the drop-down menu")</f>
        <v>Please Selct an LMS Environment from the drop-down menu</v>
      </c>
      <c r="L12" s="510" t="s">
        <v>273</v>
      </c>
      <c r="M12" s="511" t="s">
        <v>274</v>
      </c>
      <c r="N12" s="513" t="s">
        <v>853</v>
      </c>
      <c r="O12" s="510" t="s">
        <v>275</v>
      </c>
      <c r="P12" s="511" t="str">
        <f>IF('Program Config'!$C$34="n/a","n/a",IF(AND('Program Config'!$C$34&lt;&gt;"",'Program Config'!$C$28&lt;&gt;""),_xlfn.CONCAT("https://www.linkedin.com/in/jo-ann-balsamo"&amp;(SUBSTITUTE('Program Config'!$C$34,"https://www.linkedin.com/in/jo-ann-balsamo",""))&amp;"/"&amp;('Program Config'!$C$28)&amp;""),"This component requires the DemoData3 Client URL &amp; the Program DemoData727"))</f>
        <v>https://www.linkedin.com/in/jo-ann-balsamo//NONCE-nonce-NONCE2-nonce3-nonce</v>
      </c>
      <c r="Q12" s="512" t="s">
        <v>764</v>
      </c>
      <c r="R12" s="511" t="str">
        <f>IF('Program Config'!G45&lt;&gt;"","This component will be configured by DemoData3","This component will be configured by DemoData3")</f>
        <v>This component will be configured by DemoData3</v>
      </c>
      <c r="S12" s="512" t="s">
        <v>273</v>
      </c>
      <c r="T12" s="514" t="str">
        <f>IF('Program Config'!G45&lt;&gt;"","This component will be configured by DemoData3","This component will be configured by DemoData3")</f>
        <v>This component will be configured by DemoData3</v>
      </c>
      <c r="U12" s="515" t="str">
        <f>IF('Program Config'!H45&lt;&gt;"","This component will be configured by DemoData3","This component will be configured by DemoData3")</f>
        <v>This component will be configured by DemoData3</v>
      </c>
      <c r="V12" s="510" t="str">
        <f>IF('Program Config'!$J$1="LEGACY","LEGACY ILU", "LATEST ILU")</f>
        <v>LATEST ILU</v>
      </c>
      <c r="W12" s="516" t="s">
        <v>610</v>
      </c>
      <c r="X12" s="517" t="s">
        <v>610</v>
      </c>
      <c r="Y12" s="510" t="str">
        <f>IF('Program Config'!$J$1="LEGACY","LEGACY Redirection URL", "LATEST Redirection URL")</f>
        <v>LATEST Redirection URL</v>
      </c>
      <c r="Z12" s="511" t="s">
        <v>610</v>
      </c>
      <c r="AA12" s="517" t="s">
        <v>610</v>
      </c>
      <c r="AB12" s="537" t="s">
        <v>302</v>
      </c>
      <c r="AC12" s="538" t="str">
        <f>_xlfn.CONCAT(""&amp;(Concats!$U$2)&amp;""&amp;(Concats!$U$3)&amp;""&amp;(Concats!$U$4)&amp;""&amp;(Concats!$U$5)&amp;""&amp;(Concats!$U$6)&amp;"
"&amp;(Concats!$U$7)&amp;""&amp;(Concats!$U$8)&amp;"
"&amp;(Concats!$U$9)&amp;""&amp;(Concats!$U$10)&amp;"
"&amp;(Concats!$U$11)&amp;""&amp;(Concats!$U$12)&amp;"
"&amp;(Concats!$U$13)&amp;""&amp;(Concats!$U$14)&amp;"
"&amp;(Concats!$U$15)&amp;""&amp;(Concats!$U$16)&amp;"
"&amp;(Concats!$U$17)&amp;""&amp;(Concats!$U$18)&amp;"
"&amp;(Concats!$U$19)&amp;""&amp;(Concats!$U$20)&amp;"
"&amp;(Concats!$U$21)&amp;""&amp;(Concats!$U$22)&amp;"
"&amp;(Concats!$U$23)&amp;""&amp;(Concats!$U$24)&amp;"")</f>
        <v>{
    "title": "DemoData.com GENINTEGRATION 31",
    "scopes": [],
    "extensions": [
        {
            "platform": "LMS1.instructure.com",
            "settings": {
                "platform": "LMS1.instructure.com",
                "placements": [
                    {
                        "text": "DemoData.com",
                        "placement": "link_selection",
                        "message_type": "GENINTEGRATIONResourceLinkRequest",
                        "windowTarget": "_blank",
                        "target_link_uri": "https://www.linkedin.com/in/jo-ann-balsamo/"
                    },
                    {
                        "text": "DemoData.com",
                        "placement": "course_navigation",
                        "message_type": "GENINTEGRATIONResourceLinkRequest",
                        "windowTarget": "_blank",
                        "target_link_uri": "https://www.linkedin.com/in/jo-ann-balsamo/"
                    },
                     {
                        "text": "DemoData.com",
                        "placement": "global_navigation",
                        "display_type": "full_width",
                        "message_type": "GENINTEGRATIONResourceLinkRequest",
                        "windowTarget": "_blank",
                        "target_link_uri": "https://www.linkedin.com/in/jo-ann-balsamo/"
                    },
                    {
                        "text": "DemoData.com",
                        "placement": "account_navigation",
                        "display_type": "full_width",
                        "message_type": "GENINTEGRATIONResourceLinkRequest",
                        "windowTarget": "_blank",
                        "target_link_uri": "https://www.linkedin.com/in/jo-ann-balsamo/"
                    }
                ]
            },
            "privacy_level": "public"
        }
    ],
    "public_jwk": {
        "e": "AQAB",
        "n": "r1TzaUsgF6OhsT_6Q12z9s3loqC5iRd89M3ZLh1TOsOxxecIZXbqnSYOaCM4Nf37sUKJoOor3a-lLjTGndL8xpGV1t6X6quNlU9emRTtu5I9umxxBC9PInWTWTKJyO5G1GSDAovPK4nHBcQ-sqI59Ama0pRf0SGfZOhhqq_dqkK0x3dMYMPCu1YYmtz-HoNbuiQyqpDTgKYZkbsfSn4CapGBc9xoqQtoAyRJQd34KrFXj-RBNSITL5lNxAUvplc6_y5RXCTmmEQs4-v7-npFJkZTxhbE_WG5gtG8JwrbZKqGSioYQXnlp-mF5EeAntDs4AaTPBwjR9XnfXN0URS9gw",
        "alg": "RS256",
        "kid": "sig-2022-03-30T15:54:06Z",
        "kty": "RSA",
        "use": "sig"
    },
    "description": "DemoData.com GENINTEGRATION 31",
    "windowTarget": "_blank",
    "custom_fields": {
        "custom_ap": "DEMO",
        "OA_consumer_DemoData27": "Nonce7"
     },
    "public_jwk_url": "https://www.linkedin.com/in/jo-ann-balsamo//DemoData27set",
    "target_link_uri": "https://www.linkedin.com/in/jo-ann-balsamo/",
    "oidc_initiation_url": "https://www.linkedin.com/in/jo-ann-balsamo/"
 }</v>
      </c>
      <c r="AD12" s="467" t="str">
        <f>_xlfn.CONCAT(UPPER(SUBSTITUTE(Concats!$A$8,"/","")))&amp;("_GENINTEGRATION_31_LMS1_JSON")&amp;""</f>
        <v>LINKEDIN_GENINTEGRATION_31_LMS1_JSON</v>
      </c>
      <c r="AE12" s="468" t="str">
        <f>IF(AND('Program Config'!H14&lt;&gt;"",'Program Config'!H14&lt;&gt;"n/a"),_xlfn.CONCAT("CAN_Link_All_"&amp;(LEFT('Program Config'!H14,4))&amp;"_GENINTEGRATION_1-3"),"CAN_Link_All_GENINTEGRATION_1-3")</f>
        <v>CAN_Link_All_GENINTEGRATION_1-3</v>
      </c>
      <c r="AF12" s="467" t="str">
        <f>Concats!$U$27</f>
        <v xml:space="preserve">DemoData27:  Nonce7
DemoData72:  Nocne8
URL:  https://www.linkedin.com/in/jo-ann-balsamo/ </v>
      </c>
      <c r="AG12" s="467" t="str">
        <f>_xlfn.CONCAT(""&amp;(Concats!$U$30)&amp;"")</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AH12" s="467" t="str">
        <f>_xlfn.CONCAT(""&amp;(Concats!$U$33)&amp;"
"&amp;(Concats!$U$34)&amp;""&amp;(Concats!$U$35)&amp;"
"&amp;(Concats!$U$36)&amp;"
"&amp;(Concats!$U$37)&amp;" 
"&amp;(Concats!$U$38)&amp;" 
"&amp;(Concats!$U$39)&amp;"
"&amp;(Concats!$U$40)&amp;"
"&amp;(Concats!$U$41)&amp;" "&amp;(Concats!$U$42)&amp;"
"&amp;(Concats!$U$43)&amp;"")</f>
        <v>DRAFT
Attach: JLB Client DemoData727e LMS1 GENINTEGRATION 31 + JSON
Subject: DEMO / DemoData.com LMS1 Integration
TO: w.barnes@demodata.com; t.navarro@demodata.com; n.reed@demodata.com
CC:  leah.adler@FakeDemoData.com; gavin.park@FakeDemoData.com; m.chen@demodata.com
BCC: victoria.lane@FakeDemoData.com
Good Morning,
Thank you, in advance, for helping us integrate DemoData.com as an GENINTEGRATION tool in your LMS1 LMS.
To set up DemoData.com as an External App in LMS1, we recommend the "Paste JSON" method. Please use the MARKET2 JSON to connect to your dedicated DemoData.com program. 
You will also have to paste a redirect link into LMS1.  The redirect link is: https://www.linkedin.com/in/jo-ann-balsamo/
In order to complete the configuration, we will need 2 pieces of information from your set up:
      1.  The CID - Highlighted in Step 7 on Page 3 of the MARKET2 LMS1 Client DemoData727e 
      2.  The Deployment ID - Highlighted in Step 9 on Page 7 of the MARKET2 LMS1 Client DemoData727e 
You can reply to this Type1 to send me both the CID and the Deployment ID; I will respond to let you know the configuration has been completed and it is okay to proceed with testing.
Please Note:  The tool will not launch until both the CID and Deployment ID are added to the configuration.
Once ready, please let me know when you have completed a couple of tests by launching from both student and teacher accounts in varying courses. I will review the data to verify that we have captured /mapped the user and course IDs most suitable for reporting.
If you have any questions about the configuration, please let me know.
Thank you,</v>
      </c>
      <c r="AI12" s="500" t="s">
        <v>939</v>
      </c>
      <c r="AJ12" s="468" t="s">
        <v>610</v>
      </c>
      <c r="AK12" s="500" t="s">
        <v>938</v>
      </c>
      <c r="AL12" s="470" t="s">
        <v>610</v>
      </c>
      <c r="AM12" s="471" t="str">
        <f>_xlfn.CONCAT(""&amp;(Concats!$U$46)&amp;"
"&amp;(Concats!$U$47)&amp;"")</f>
        <v>DRAFT
Attach: Program Preferences Sheet
Subject: DEMO / Program Preferences Sheet
TO: w.barnes@demodata.com; t.navarro@demodata.com; n.reed@demodata.com
CC:  leah.adler@FakeDemoData.com; gavin.park@FakeDemoData.com; m.chen@demodata.com
BCC: victoria.lane@FakeDemoData.com
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AN12" s="472" t="str">
        <f>_xlfn.CONCAT(""&amp;(Concats!$U$49)&amp;"")</f>
        <v>DEMO LATEST:  https://www.linkedin.com/in/jo-ann-balsamo
Username: linkedin@PRODUCT4.com 
PW: DemoData2026</v>
      </c>
      <c r="AO12" s="473" t="str">
        <f>_xlfn.CONCAT(""&amp;(Concats!$U$51)&amp;"")</f>
        <v>DEMO AP: https://www.linkedin.com/in//linkedin/AM
Username: linkedin@PRODUCT4.com
PW: DemoData2026</v>
      </c>
      <c r="AP12" s="474" t="str">
        <f t="shared" ref="AP12" si="4">_xlfn.CONCAT(""&amp;(AQ12)&amp;" ("&amp;AR12&amp;")")</f>
        <v>Georgia (GA)</v>
      </c>
      <c r="AQ12" s="475" t="s">
        <v>307</v>
      </c>
      <c r="AR12" s="496" t="s">
        <v>308</v>
      </c>
      <c r="AS12" s="503" t="s">
        <v>48</v>
      </c>
      <c r="AX12" s="478" t="s">
        <v>656</v>
      </c>
      <c r="AY12" s="504" t="s">
        <v>309</v>
      </c>
      <c r="AZ12" s="505" t="s">
        <v>205</v>
      </c>
      <c r="BA12" s="505" t="s">
        <v>610</v>
      </c>
      <c r="BB12" s="505" t="s">
        <v>600</v>
      </c>
      <c r="BC12" s="486" t="str">
        <f>_xlfn.CONCAT(""&amp;(Concats!$N$74)&amp;"
"&amp;(Concats!$N$75)&amp;"
"&amp;(Concats!$N$76)&amp;"
"&amp;(Concats!$N$77)&amp;"
"&amp;(Concats!$N$78)&amp;"
"&amp;(Concats!$N$79)&amp;"
"&amp;(Concats!$N$80)&amp;"
"&amp;(Concats!$N$81)&amp;"
"&amp;(Concats!$N$82)&amp;"")</f>
        <v xml:space="preserve">DRAFT
Attach: n/a
Subject: DEMO / DemoData.com Unspecified Rostering
TO: w.barnes@demodata.com; t.navarro@demodata.com; n.reed@demodata.com
CC:  leah.adler@FakeDemoData.com; gavin.park@FakeDemoData.com; m.chen@demodata.com
BCC: victoria.lane@FakeDemoData.com
Good Morning,
I am excited to partner with the DEMO team to set up rostering with DemoData.com.
To get started, we first need to confirm your rostering method. At DemoData.com, we are able to roster via LMS2 with the OneRoster Standard, LMS3 or SFTP.  
Once your rostering method is confirmed, I will send you instructions to initiate the transfer of your roster files and our development team will begin the data verification process. This process may vary depending on your rostering method. 
An important aspect of the verification process is specific to the username formats received in the roster files. In order to maintain data continuity, the username that we receive from the roster files will need to match the username format that is being passed from the current LMS1 - GENINTEGRATION 31 Link &amp; Course NAV integration.
It appears that DEMO is passing the user's ***INSERT FORMAT AND/OR DESCRIPTION OF USERNAME BEING PASSED*** as the username - please see the screenshot below for reference.
***Insert Screenshot of Client's Usernames from SQL Query***
Please let me know if you have any questions now or along the way.
Hope you have a great day!
Thank you, 
</v>
      </c>
      <c r="BI12" s="264" t="str">
        <f t="shared" si="3"/>
        <v>j  |  J</v>
      </c>
      <c r="BJ12" s="507" t="s">
        <v>176</v>
      </c>
      <c r="BK12" s="487" t="str">
        <f t="shared" si="2"/>
        <v>J</v>
      </c>
    </row>
    <row r="13" spans="1:64" ht="45" customHeight="1" thickBot="1" x14ac:dyDescent="0.6">
      <c r="A13" s="543" t="s">
        <v>310</v>
      </c>
      <c r="B13" s="456" t="s">
        <v>877</v>
      </c>
      <c r="C13" s="509" t="s">
        <v>871</v>
      </c>
      <c r="D13" s="458" t="s">
        <v>743</v>
      </c>
      <c r="E13" s="459" t="str">
        <f>IF('Program Config'!$C$30&lt;&gt;"",'Program Config'!$C$30,"This component has not been configured yet")</f>
        <v>Nonce7</v>
      </c>
      <c r="F13" s="458" t="s">
        <v>726</v>
      </c>
      <c r="G13" s="459" t="str">
        <f>IF('Program Config'!$C$31&lt;&gt;"",'Program Config'!$C$31,"This component has not been configured yet")</f>
        <v>Nocne8</v>
      </c>
      <c r="H13" s="460" t="s">
        <v>260</v>
      </c>
      <c r="I13" s="459" t="s">
        <v>260</v>
      </c>
      <c r="J13" s="460" t="s">
        <v>260</v>
      </c>
      <c r="K13" s="459" t="s">
        <v>260</v>
      </c>
      <c r="L13" s="458" t="s">
        <v>260</v>
      </c>
      <c r="M13" s="459" t="s">
        <v>260</v>
      </c>
      <c r="N13" s="513" t="s">
        <v>872</v>
      </c>
      <c r="O13" s="458" t="s">
        <v>743</v>
      </c>
      <c r="P13" s="459" t="str">
        <f>IF('Program Config'!$C$30&lt;&gt;"",'Program Config'!$C$30,"This component has not been configured yet")</f>
        <v>Nonce7</v>
      </c>
      <c r="Q13" s="460" t="s">
        <v>726</v>
      </c>
      <c r="R13" s="493" t="str">
        <f>IF('Program Config'!$C$31&lt;&gt;"",'Program Config'!$C$31,"This component has not been configured yet")</f>
        <v>Nocne8</v>
      </c>
      <c r="S13" s="495" t="str">
        <f>IF('Program Config'!$J$1="LEGACY","LEGACY GENINTEGRATION 22 EP", "LATEST GENINTEGRATION 22 EP")</f>
        <v>LATEST GENINTEGRATION 22 EP</v>
      </c>
      <c r="T13" s="514" t="s">
        <v>610</v>
      </c>
      <c r="U13" s="497" t="s">
        <v>610</v>
      </c>
      <c r="V13" s="458" t="s">
        <v>260</v>
      </c>
      <c r="W13" s="464" t="s">
        <v>260</v>
      </c>
      <c r="X13" s="459" t="s">
        <v>260</v>
      </c>
      <c r="Y13" s="458" t="s">
        <v>260</v>
      </c>
      <c r="Z13" s="459" t="s">
        <v>260</v>
      </c>
      <c r="AA13" s="459" t="s">
        <v>260</v>
      </c>
      <c r="AB13" s="466" t="str">
        <f>_xlfn.CONCAT(""&amp;(Concats!$Q$2)&amp;"")</f>
        <v>This component is not necessary</v>
      </c>
      <c r="AC13" s="466" t="str">
        <f>_xlfn.CONCAT(""&amp;(Concats!$Q$2)&amp;"
")</f>
        <v xml:space="preserve">This component is not necessary
</v>
      </c>
      <c r="AD13" s="466" t="str">
        <f>_xlfn.CONCAT(""&amp;(Concats!$Q$2)&amp;"
")</f>
        <v xml:space="preserve">This component is not necessary
</v>
      </c>
      <c r="AE13" s="468" t="s">
        <v>809</v>
      </c>
      <c r="AF13" s="467" t="str">
        <f>Concats!$Q$27</f>
        <v xml:space="preserve">DemoData27:  Nonce7
DemoData72:  Nocne8
URL:  https://www.linkedin.com/in/jo-ann-balsamo/ </v>
      </c>
      <c r="AG13" s="467" t="str">
        <f>_xlfn.CONCAT(""&amp;(Concats!$Q$30)&amp;"")</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AH13" s="467" t="str">
        <f>_xlfn.CONCAT(""&amp;(Concats!$Q$33)&amp;"
"&amp;(Concats!$Q$34)&amp;" 
"&amp;(Concats!$Q$35)&amp;"
"&amp;(Concats!$Q$36)&amp;"
"&amp;(Concats!$Q$37)&amp;"
"&amp;(Concats!$Q$38)&amp;" "&amp;(HYPERLINK(_xlfn.CONCAT(Concats!R$39),(Concats!$Q$39)))&amp;" "&amp;(Concats!$Q$40)&amp;"
"&amp;(Concats!$Q$41)&amp;"
"&amp;(Concats!$Q$42)&amp;"")</f>
        <v>DRAFT
Attach: LMS2 Client DemoData727e
Subject: DEMO / DemoData.com LMS2 Integration
TO: w.barnes@demodata.com; t.navarro@demodata.com; n.reed@demodata.com
CC:  leah.adler@FakeDemoData.com; gavin.park@FakeDemoData.com; m.chen@demodata.com
BCC: victoria.lane@FakeDemoData.com
Good Morning,
I was able to create the DemoData.com site for DEMO and below is what you’ll need to set up SSO access to our service as an “GENINTEGRATION Application” in LMS2. MARKET2 you can reference some helpful screenshots to help support the integration. 
     • Launch URL: https://www.linkedin.com/in/jo-ann-balsamo/ 
     • OA Consumer DemoData27: Nonce7
     • OA Consumer DemoData72: Nocne8
Additionally, you’ll need to pass us the school name as a custom “Input Field.”  You can call it “site.”  The actual source field varies greatly from district to district.  
1.        The name of the custom field would be “Site” 
2.        The value would be e.g. {%orgType2%} – This would be the field in your LMS2 that indicates the site or building ID number. 
Helpful notes: 
If a Resource link ID value was not specified, you can leave it as sso. 
Under User ID – you can select ‘Type1’ as the option  
For additional information on adding an app on LMS2 you can check out this article for step-by-step instructions.  
Once you’ve been able to install and test-launch this, can you let us know so that I can look at our logs and then confer with you about what we’ll use in the GENINTEGRATION payload as the identifiers for students and school?  
Thank you,</v>
      </c>
      <c r="AI13" s="468" t="s">
        <v>940</v>
      </c>
      <c r="AJ13" s="469" t="s">
        <v>610</v>
      </c>
      <c r="AK13" s="470"/>
      <c r="AL13" s="470"/>
      <c r="AM13" s="471" t="str">
        <f>_xlfn.CONCAT(""&amp;(Concats!$Q$46)&amp;"
"&amp;(Concats!$Q$47)&amp;"")</f>
        <v>DRAFT
Attach: Program Preferences Sheet
Subject: DEMO / Program Preferences Sheet
TO: w.barnes@demodata.com; t.navarro@demodata.com; n.reed@demodata.com
CC:  leah.adler@FakeDemoData.com; gavin.park@FakeDemoData.com; m.chen@demodata.com
BCC: victoria.lane@FakeDemoData.com
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AN13" s="472" t="str">
        <f>_xlfn.CONCAT(""&amp;(Concats!$Q$49)&amp;"")</f>
        <v>DEMO LATEST:  https://www.linkedin.com/in/jo-ann-balsamo
Username: linkedin@PRODUCT4.com 
PW: DemoData2026</v>
      </c>
      <c r="AO13" s="473" t="str">
        <f>_xlfn.CONCAT(""&amp;(Concats!$Q$51)&amp;"")</f>
        <v>DEMO AP: https://www.linkedin.com/in//linkedin/AM
Username: linkedin@PRODUCT4.com
PW: DemoData2026</v>
      </c>
      <c r="AP13" s="474" t="str">
        <f t="shared" ref="AP13" si="5">_xlfn.CONCAT(""&amp;(AQ13)&amp;" ("&amp;AR13&amp;")")</f>
        <v>Hawaii (HI)</v>
      </c>
      <c r="AQ13" s="475" t="s">
        <v>311</v>
      </c>
      <c r="AR13" s="496" t="s">
        <v>312</v>
      </c>
      <c r="AS13" s="503" t="s">
        <v>42</v>
      </c>
      <c r="AV13" s="544" t="s">
        <v>313</v>
      </c>
      <c r="AW13" s="444" t="s">
        <v>889</v>
      </c>
      <c r="AX13" s="478" t="s">
        <v>657</v>
      </c>
      <c r="AY13" s="535" t="s">
        <v>705</v>
      </c>
      <c r="AZ13" s="505" t="s">
        <v>205</v>
      </c>
      <c r="BA13" s="505" t="s">
        <v>610</v>
      </c>
      <c r="BB13" s="505" t="s">
        <v>601</v>
      </c>
      <c r="BC13" s="486" t="str">
        <f>_xlfn.CONCAT(""&amp;(Concats!$P$74)&amp;"
"&amp;(Concats!$P$75)&amp;"
"&amp;(Concats!$P$76)&amp;"
"&amp;(Concats!$P$77)&amp;"
"&amp;(Concats!$P$78)&amp;"
"&amp;(Concats!$P$79)&amp;"
"&amp;(Concats!$P$80)&amp;"
"&amp;(Concats!$P$81)&amp;"
"&amp;(Concats!$P$82)&amp;"")</f>
        <v xml:space="preserve">DRAFT
Attach: n/a
Subject: DEMO / DemoData.com Unspecified Rostering + PROD7 + PRODUCT2
TO: w.barnes@demodata.com; t.navarro@demodata.com; n.reed@demodata.com
CC:  leah.adler@FakeDemoData.com; gavin.park@FakeDemoData.com; m.chen@demodata.com
BCC: victoria.lane@FakeDemoData.com
Good Morning,
I am excited to partner with the DEMO team to set up rostering with the DemoData.com Teacher Dashboard and High Dosage DemoDataing.
To get started, we first need to confirm your rostering method. At DemoData.com, we are able to roster via LMS2 with the OneRoster Standard, LMS3 or SFTP.  
Once your rostering method is confirmed, I will send you instructions to initiate the transfer of your roster files and our development team will begin the data verification process. This process may vary depending on your rostering method. 
An important aspect of the verification process is specific to the username formats received in the roster files. In order to maintain data continuity, the username that we receive from the roster files will need to match the username format that is being passed from the current LMS1 - GENINTEGRATION 31 Link &amp; Course NAV integration.
It appears that DEMO is passing the user's ***INSERT FORMAT AND/OR DESCRIPTION OF USERNAME BEING PASSED*** as the username - please see the screenshot below for reference.
***Insert Screenshot of Client's Usernames from SQL Query***
Please let me know if you have any questions now or along the way.
Hope you have a great day!
Thank you, 
</v>
      </c>
      <c r="BI13" s="264" t="str">
        <f t="shared" si="3"/>
        <v>k  |  K</v>
      </c>
      <c r="BJ13" s="507" t="s">
        <v>177</v>
      </c>
      <c r="BK13" s="487" t="str">
        <f t="shared" si="2"/>
        <v>K</v>
      </c>
    </row>
    <row r="14" spans="1:64" ht="45" customHeight="1" thickBot="1" x14ac:dyDescent="0.6">
      <c r="A14" s="545" t="s">
        <v>314</v>
      </c>
      <c r="B14" s="456" t="s">
        <v>857</v>
      </c>
      <c r="C14" s="509" t="s">
        <v>858</v>
      </c>
      <c r="D14" s="510" t="s">
        <v>852</v>
      </c>
      <c r="E14" s="511"/>
      <c r="F14" s="510" t="s">
        <v>764</v>
      </c>
      <c r="G14" s="511" t="s">
        <v>274</v>
      </c>
      <c r="H14" s="512" t="s">
        <v>760</v>
      </c>
      <c r="I14" s="511"/>
      <c r="J14" s="512" t="s">
        <v>745</v>
      </c>
      <c r="K14" s="511"/>
      <c r="L14" s="510" t="s">
        <v>273</v>
      </c>
      <c r="M14" s="511" t="s">
        <v>274</v>
      </c>
      <c r="N14" s="513" t="s">
        <v>853</v>
      </c>
      <c r="O14" s="510" t="s">
        <v>275</v>
      </c>
      <c r="P14" s="511" t="str">
        <f>IF('Program Config'!$C$34="n/a","n/a",IF(AND('Program Config'!$C$34&lt;&gt;"",'Program Config'!$C$28&lt;&gt;""),_xlfn.CONCAT("https://www.linkedin.com/in/jo-ann-balsamo"&amp;(SUBSTITUTE('Program Config'!$C$34,"https://www.linkedin.com/in/jo-ann-balsamo",""))&amp;"/"&amp;('Program Config'!$C$28)&amp;""),"This component requires the DemoData3 Client URL &amp; the Program DemoData727"))</f>
        <v>https://www.linkedin.com/in/jo-ann-balsamo//NONCE-nonce-NONCE2-nonce3-nonce</v>
      </c>
      <c r="Q14" s="512" t="s">
        <v>764</v>
      </c>
      <c r="R14" s="511" t="s">
        <v>607</v>
      </c>
      <c r="S14" s="512" t="s">
        <v>273</v>
      </c>
      <c r="T14" s="514" t="s">
        <v>607</v>
      </c>
      <c r="U14" s="515" t="s">
        <v>607</v>
      </c>
      <c r="V14" s="510" t="str">
        <f>IF('Program Config'!$J$1="LEGACY","LEGACY ILU", "LATEST ILU")</f>
        <v>LATEST ILU</v>
      </c>
      <c r="W14" s="516" t="s">
        <v>610</v>
      </c>
      <c r="X14" s="517" t="s">
        <v>610</v>
      </c>
      <c r="Y14" s="510" t="str">
        <f>IF('Program Config'!$J$1="LEGACY","LEGACY Redirection URL", "LATEST Redirection URL")</f>
        <v>LATEST Redirection URL</v>
      </c>
      <c r="Z14" s="511" t="s">
        <v>610</v>
      </c>
      <c r="AA14" s="517" t="s">
        <v>610</v>
      </c>
      <c r="AB14" s="466" t="str">
        <f>_xlfn.CONCAT(""&amp;(Concats!$AA$2)&amp;"")</f>
        <v>This component is not necessary</v>
      </c>
      <c r="AC14" s="466" t="str">
        <f>_xlfn.CONCAT(""&amp;(Concats!$AA$2)&amp;"
")</f>
        <v xml:space="preserve">This component is not necessary
</v>
      </c>
      <c r="AD14" s="466" t="str">
        <f>_xlfn.CONCAT(""&amp;(Concats!$AA$2)&amp;"
")</f>
        <v xml:space="preserve">This component is not necessary
</v>
      </c>
      <c r="AE14" s="468" t="s">
        <v>810</v>
      </c>
      <c r="AF14" s="467" t="str">
        <f>Concats!$AA$27</f>
        <v xml:space="preserve">DemoData27:  Nonce7
DemoData72:  Nocne8
URL:  https://www.linkedin.com/in/jo-ann-balsamo/ </v>
      </c>
      <c r="AG14" s="467" t="str">
        <f>_xlfn.CONCAT(""&amp;(Concats!$AA$30)&amp;"")</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AH14" s="467" t="str">
        <f>_xlfn.CONCAT(""&amp;(Concats!$AA$33)&amp;"
"&amp;(Concats!$AA$34)&amp;" 
"&amp;(Concats!$AA$35)&amp;"
"&amp;(Concats!$AA$36)&amp;"
"&amp;(Concats!$AA$37)&amp;"
"&amp;(Concats!$AA$38)&amp;" "&amp;(HYPERLINK(_xlfn.CONCAT(Concats!AB$39),(Concats!$AA$39)))&amp;" "&amp;(Concats!$AA$40)&amp;"
"&amp;(Concats!$AA$41)&amp;"
"&amp;(Concats!$AA$42)&amp;"")</f>
        <v>DRAFT
Attach: LMS2 Client DemoData727e
Subject: DEMO / DemoData.com LMS2 Integration
TO: w.barnes@demodata.com; t.navarro@demodata.com; n.reed@demodata.com
CC:  leah.adler@FakeDemoData.com; gavin.park@FakeDemoData.com; m.chen@demodata.com
BCC: victoria.lane@FakeDemoData.com
Good Morning,
I was able to create the DemoData.com site for DEMO and below is what you’ll need to set up SSO access to our service as an “GENINTEGRATION Application” in LMS2. MARKET2 you can reference some helpful screenshots to help support the integration.
      • Launch URL: https://www.linkedin.com/in/jo-ann-balsamo/ 
     • OA Consumer DemoData27: Nonce7
     • OA Consumer DemoData72: Nocne8
Additionally, you’ll need to pass us the school name as a custom “Input Field.”  You can call it “site.”  The actual source field varies greatly from district to district.  
1.        The name of the custom field would be “Site” 
2.        The value would be e.g. {%orgType2%} – This would be the field in your LMS2 that indicates the site or building ID number. 
Helpful notes: 
If a Resource link ID value was not specified, you can leave it as sso. 
Under User ID – you can select ‘Type1’ as the option  
For additional information on adding an app on LMS2 you can check out this article for step-by-step instructions.  
Once you’ve been able to install and test-launch this, can you let us know so that I can look at our logs and then confer with you about what we’ll use in the GENINTEGRATION payload as the identifiers for students and school?  
Thank you,</v>
      </c>
      <c r="AI14" s="468" t="s">
        <v>941</v>
      </c>
      <c r="AJ14" s="469"/>
      <c r="AK14" s="470"/>
      <c r="AL14" s="470"/>
      <c r="AM14" s="471" t="str">
        <f>_xlfn.CONCAT(""&amp;(Concats!$AA$46)&amp;"
"&amp;(Concats!$AA$47)&amp;"")</f>
        <v>DRAFT
Attach: Program Preferences Sheet
Subject: DEMO / Program Preferences Sheet
TO: w.barnes@demodata.com; t.navarro@demodata.com; n.reed@demodata.com
CC:  leah.adler@FakeDemoData.com; gavin.park@FakeDemoData.com; m.chen@demodata.com
BCC: victoria.lane@FakeDemoData.com
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AN14" s="472" t="str">
        <f>_xlfn.CONCAT(""&amp;(Concats!$AA$49)&amp;"")</f>
        <v>DEMO LATEST:  https://www.linkedin.com/in/jo-ann-balsamo
Username: linkedin@PRODUCT4.com 
PW: DemoData2026</v>
      </c>
      <c r="AO14" s="473" t="str">
        <f>_xlfn.CONCAT(""&amp;(Concats!$AA$51)&amp;"")</f>
        <v>DEMO AP: https://www.linkedin.com/in//linkedin/AM
Username: linkedin@PRODUCT4.com
PW: DemoData2026</v>
      </c>
      <c r="AP14" s="474" t="str">
        <f>_xlfn.CONCAT(""&amp;(AQ14)&amp;" ("&amp;AR14&amp;")")</f>
        <v>Idaho (ID)</v>
      </c>
      <c r="AQ14" s="475" t="s">
        <v>315</v>
      </c>
      <c r="AR14" s="496" t="s">
        <v>316</v>
      </c>
      <c r="AS14" s="519" t="s">
        <v>266</v>
      </c>
      <c r="AV14" s="482" t="s">
        <v>317</v>
      </c>
      <c r="AW14" s="546" t="str" cm="1">
        <f t="array" ref="AW14">IF(OR('Program Config'!F10&lt;&gt;"",'Program Config'!C14&lt;&gt;""),(_xlfn.CONCAT(IF('Program Config'!$F$10&lt;&gt;"",_xlfn.CONCAT(""&amp;('Program Config'!$F$10)&amp;" "),"")&amp;"Program Configured "&amp;IF('Program Config'!$J$1&lt;&gt;"",_xlfn.CONCAT(" for "&amp;('Program Config'!$H$1)&amp;" Market"),"")&amp;(IF('Program Config'!$C$27&lt;&gt;"",_xlfn.CONCAT(" (ID #"&amp;('Program Config'!$C$27)&amp;")"),"")&amp;IF(OR('Program Config'!$E$20="n/a",'Program Config'!$E$20="",'Program Config'!$E$20=0,'Program Config'!$E$20="no"),". ",". ")),"")&amp;"LIs sent to CSM &amp; Type1"&amp;(IF('Program Config'!$H$1&lt;&gt;"MARKET3","s for"&amp;IF('Program Config'!$C$14&lt;&gt;"",_xlfn.CONCAT(" "&amp;('Program Config'!$C$14)&amp;" ")," ")&amp;"Integration &amp; Program Preferences drafted. "," for"&amp;IF('Program Config'!$C$14&lt;&gt;"",_xlfn.CONCAT(" "&amp;('Program Config'!$C$14)&amp;" ")," ")&amp;"Integration drafted. ")&amp;"Kick off call scMARKET2ule"&amp;(IF('Program Contacts &amp; Kickoff'!$B$19=""," TBD. ",_xlfn.CONCAT("d for "&amp;TEXT('Program Contacts &amp; Kickoff'!$B$19,"mm/dd/yyyy")))&amp;" "&amp;(IF('Program Contacts &amp; Kickoff'!$B$20&lt;&gt;"",_xlfn.CONCAT("@ "&amp;('Program Contacts &amp; Kickoff'!$B$20)&amp;". "),"")&amp;(IF(OR('Program Config'!$J$14="n/a",'Program Config'!$J$14="",'Program Config'!$J$14=0),"","
Data verification process also initiated for "&amp;('Program Config'!$J$14)&amp;". ")&amp;"
"&amp;IF(AND('Program Config'!$I$4&lt;&gt;"",'Program Config'!$C$6&lt;&gt;""),(_xlfn.CONCAT("Additional Information can be found in the JLB Ticket (Link: "&amp;('Program Config'!$I$4)&amp;") and the CRM DOC1 (Link: "&amp;('Program Config'!$C$6)&amp;"). ")),"")&amp;IF(AND('Program Config'!$I$4&lt;&gt;"",'Program Config'!$C$6=""),(_xlfn.CONCAT("Additional Information can be found in the JLB Ticket (Link: "&amp;('Program Config'!$I$4)&amp;"). ")),"")&amp;IF(AND('Program Config'!$I$4="",'Program Config'!$C$4&lt;&gt;""),(_xlfn.CONCAT("Additional Information can be found in the CRM Data Source [DOC1] (Link: "&amp;('Program Config'!$C$4)&amp;"). ")),"")&amp;IF(OR('Program Contacts &amp; Kickoff'!$B$6:$B$15="Steven Ramos",'Program Contacts &amp; Kickoff'!$B$6:$B$15="Steve Ramos")," 
"," 
@Steven Ramos"))&amp;(IF(AX32&lt;&gt;"",_xlfn.CONCAT(" @"&amp;(AX32)),"")&amp;(IF(AX34&lt;&gt;"",_xlfn.CONCAT(" @"&amp;(AX34)),"")&amp;(IF(AT27&lt;&gt;"",_xlfn.CONCAT(" @"&amp;(AT27)),"")&amp;(IF(AT28&lt;&gt;"",_xlfn.CONCAT(" @"&amp;(AT28)),"")&amp;(IF(AT29&lt;&gt;"",_xlfn.CONCAT(" @"&amp;(AT29)),"")&amp;(IF(AT30&lt;&gt;"",_xlfn.CONCAT(" @"&amp;(AT30)),"")&amp;(IF(AT31&lt;&gt;"",_xlfn.CONCAT(" @"&amp;(AT31)),"")&amp;(IF(AT32&lt;&gt;"",_xlfn.CONCAT(" @"&amp;(AT32)),"")&amp;(IF(AT33&lt;&gt;"",_xlfn.CONCAT(" @"&amp;(AT33)),"")&amp;(IF(AT34&lt;&gt;"",_xlfn.CONCAT(" @"&amp;(AT34)),"")&amp;(IF(AT35&lt;&gt;"",_xlfn.CONCAT(" @"&amp;(AT35)),"")&amp;(IF(AT36&lt;&gt;"",_xlfn.CONCAT(" @"&amp;(AT36)),""))))))))))))))))),"New Program Built")</f>
        <v>DEMO Program Configured  for MARKET4 Market (ID #2026). LIs sent to CSM &amp; Type1s for LMS1 - GENINTEGRATION 31 Link &amp; Course NAV Integration &amp; Program Preferences drafted. Kick off call scMARKET2uled for 02/26/2026 @ 1:00 PM EST. 
Additional Information can be found in the CRM Data Source [DOC1] (Link: https://www.linkedin.com/in/jo-ann-balsamo/).  
@Steven Ramos @Leah Adler @Gavin Park @m.chen@demodata.com</v>
      </c>
      <c r="AX14" s="533" t="s">
        <v>658</v>
      </c>
      <c r="AY14" s="535" t="s">
        <v>706</v>
      </c>
      <c r="AZ14" s="505" t="s">
        <v>595</v>
      </c>
      <c r="BA14" s="505" t="s">
        <v>610</v>
      </c>
      <c r="BB14" s="505" t="s">
        <v>602</v>
      </c>
      <c r="BC14" s="486" t="str">
        <f>_xlfn.CONCAT(""&amp;(Concats!$P$74)&amp;"
"&amp;(Concats!$P$75)&amp;"
"&amp;(Concats!$P$76)&amp;"
"&amp;(Concats!$P$77)&amp;"
"&amp;(Concats!$P$78)&amp;"
"&amp;(Concats!$P$79)&amp;"
"&amp;(Concats!$P$80)&amp;"
"&amp;(Concats!$P$81)&amp;"
"&amp;(Concats!$P$82)&amp;"")</f>
        <v xml:space="preserve">DRAFT
Attach: n/a
Subject: DEMO / DemoData.com Unspecified Rostering + PROD7 + PRODUCT2
TO: w.barnes@demodata.com; t.navarro@demodata.com; n.reed@demodata.com
CC:  leah.adler@FakeDemoData.com; gavin.park@FakeDemoData.com; m.chen@demodata.com
BCC: victoria.lane@FakeDemoData.com
Good Morning,
I am excited to partner with the DEMO team to set up rostering with the DemoData.com Teacher Dashboard and High Dosage DemoDataing.
To get started, we first need to confirm your rostering method. At DemoData.com, we are able to roster via LMS2 with the OneRoster Standard, LMS3 or SFTP.  
Once your rostering method is confirmed, I will send you instructions to initiate the transfer of your roster files and our development team will begin the data verification process. This process may vary depending on your rostering method. 
An important aspect of the verification process is specific to the username formats received in the roster files. In order to maintain data continuity, the username that we receive from the roster files will need to match the username format that is being passed from the current LMS1 - GENINTEGRATION 31 Link &amp; Course NAV integration.
It appears that DEMO is passing the user's ***INSERT FORMAT AND/OR DESCRIPTION OF USERNAME BEING PASSED*** as the username - please see the screenshot below for reference.
***Insert Screenshot of Client's Usernames from SQL Query***
Please let me know if you have any questions now or along the way.
Hope you have a great day!
Thank you, 
</v>
      </c>
      <c r="BI14" s="264" t="str">
        <f t="shared" si="3"/>
        <v>l  |  L</v>
      </c>
      <c r="BJ14" s="507" t="s">
        <v>179</v>
      </c>
      <c r="BK14" s="487" t="str">
        <f t="shared" si="2"/>
        <v>L</v>
      </c>
    </row>
    <row r="15" spans="1:64" ht="45" customHeight="1" thickBot="1" x14ac:dyDescent="0.6">
      <c r="A15" s="547" t="s">
        <v>318</v>
      </c>
      <c r="B15" s="456" t="s">
        <v>620</v>
      </c>
      <c r="C15" s="457" t="s">
        <v>260</v>
      </c>
      <c r="D15" s="458" t="s">
        <v>260</v>
      </c>
      <c r="E15" s="459" t="s">
        <v>260</v>
      </c>
      <c r="F15" s="458" t="s">
        <v>260</v>
      </c>
      <c r="G15" s="459" t="s">
        <v>260</v>
      </c>
      <c r="H15" s="460" t="s">
        <v>260</v>
      </c>
      <c r="I15" s="459" t="s">
        <v>260</v>
      </c>
      <c r="J15" s="460" t="s">
        <v>260</v>
      </c>
      <c r="K15" s="459" t="s">
        <v>260</v>
      </c>
      <c r="L15" s="458" t="s">
        <v>260</v>
      </c>
      <c r="M15" s="459" t="s">
        <v>260</v>
      </c>
      <c r="N15" s="461" t="s">
        <v>260</v>
      </c>
      <c r="O15" s="458" t="s">
        <v>260</v>
      </c>
      <c r="P15" s="459" t="s">
        <v>260</v>
      </c>
      <c r="Q15" s="460" t="s">
        <v>260</v>
      </c>
      <c r="R15" s="459" t="s">
        <v>260</v>
      </c>
      <c r="S15" s="460" t="s">
        <v>260</v>
      </c>
      <c r="T15" s="462" t="s">
        <v>260</v>
      </c>
      <c r="U15" s="463" t="s">
        <v>260</v>
      </c>
      <c r="V15" s="458" t="s">
        <v>260</v>
      </c>
      <c r="W15" s="464" t="s">
        <v>260</v>
      </c>
      <c r="X15" s="459" t="s">
        <v>260</v>
      </c>
      <c r="Y15" s="458" t="s">
        <v>260</v>
      </c>
      <c r="Z15" s="459" t="s">
        <v>260</v>
      </c>
      <c r="AA15" s="459" t="s">
        <v>260</v>
      </c>
      <c r="AB15" s="466" t="str">
        <f>_xlfn.CONCAT(""&amp;(Concats!$K$2)&amp;"")</f>
        <v>This component is not necessary</v>
      </c>
      <c r="AC15" s="466" t="str">
        <f>_xlfn.CONCAT(""&amp;(Concats!$K$2)&amp;"")</f>
        <v>This component is not necessary</v>
      </c>
      <c r="AD15" s="466" t="str">
        <f>_xlfn.CONCAT(""&amp;(Concats!$K$2)&amp;"")</f>
        <v>This component is not necessary</v>
      </c>
      <c r="AE15" s="468" t="s">
        <v>620</v>
      </c>
      <c r="AF15" s="467" t="str">
        <f>Concats!$K$27</f>
        <v>These components are not necessary</v>
      </c>
      <c r="AG15" s="467" t="str">
        <f>_xlfn.CONCAT(""&amp;(Concats!$K$30)&amp;"")</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AH15" s="467" t="str">
        <f>_xlfn.CONCAT(""&amp;(Concats!$K$33)&amp;"
"&amp;(Concats!$K$34)&amp;" "&amp;(Concats!$K$35)&amp;" "&amp;(Concats!$K$36)&amp;" "&amp;(Concats!$K$37)&amp;"
"&amp;(Concats!$K$38)&amp;"
"&amp;(Concats!$K$39)&amp;"
")</f>
        <v xml:space="preserve">DRAFT
Attach: District ID Screenshot + Client WEB Logo (both within the BODY of the Type1)
Subject: DEMO / DemoData.com LMS3 Implementation
TO: w.barnes@demodata.com; t.navarro@demodata.com; n.reed@demodata.com
CC:  leah.adler@FakeDemoData.com; gavin.park@FakeDemoData.com; m.chen@demodata.com
BCC: victoria.lane@FakeDemoData.com
Good Morning,
Great news, your program shell has been configured and we are ready for next steps.  
1.  Can you please confirm this is the correct LMS3 District ID? Once confirmed, I will send you an invitation to connect.  
 **** Insert Screenshot from LMS3 with their DISTRICT ID identified****
 2.  Once connected, please designate your sharing preferences for the DemoData.com/LMS3 connection.
 **** Insert Screenshot from LMS3 sharing settings radials****
3.  When the sharing settings are correct for the ****ENTER GRADE LEVEL HERE**** you wish to access DemoData.com, we’ll ask you to run some tests to make sure we see the correct information on our end. For additional support on sharing rules and set up, please
 click here or watch this  brief video.
    a. To run a test, simply emulate a few student accounts and click on the DemoData.com icon in the dashboard.  
 **** Insert Screenshot from LMS3 dashboard (in Type1 template)****
4.  If the test is successful, you will see the DemoData.com platform open which looks like this: 
 **** Insert Screenshot from LATEST dashboard (in Type1 template)****
5.  Please send me the name, Type1 and school location you launcMARKET2 the tests from so that I can make sure they are coming through properly on our end. 
 Additionally, we would like to place your logo to cobrand alongside DemoData.com in the Client AP for staff access.  Would this be an appropriate logo to use?  If not, please send me the appropriate logo, sized to 310x90.
****Insert Client Web LOGO here****
I am looking forward to connecting with you to get started!  Please let me know if you would like a quick Teams call to walk through any of the steps together.
Thank you,
</v>
      </c>
      <c r="AI15" s="468" t="s">
        <v>942</v>
      </c>
      <c r="AJ15" s="469" t="s">
        <v>610</v>
      </c>
      <c r="AK15" s="470"/>
      <c r="AL15" s="470"/>
      <c r="AM15" s="471" t="str">
        <f>_xlfn.CONCAT(""&amp;(Concats!$K$46)&amp;"
"&amp;(Concats!$K$47)&amp;"")</f>
        <v>DRAFT
Attach: Program Preferences Sheet
Subject: DEMO / Program Preferences Sheet
TO: w.barnes@demodata.com; t.navarro@demodata.com; n.reed@demodata.com
CC:  leah.adler@FakeDemoData.com; gavin.park@FakeDemoData.com; m.chen@demodata.com
BCC: victoria.lane@FakeDemoData.com
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AN15" s="472" t="str">
        <f>_xlfn.CONCAT(""&amp;(Concats!$K$49)&amp;"")</f>
        <v>DEMO LATEST:  https://www.linkedin.com/in/jo-ann-balsamo
Username: linkedin@PRODUCT4.com 
PW: DemoData2026</v>
      </c>
      <c r="AO15" s="473" t="str">
        <f>_xlfn.CONCAT(""&amp;(Concats!$K$51)&amp;"")</f>
        <v>DEMO AP: https://www.linkedin.com/in//linkedin/AM
Username: linkedin@PRODUCT4.com
PW: DemoData2026</v>
      </c>
      <c r="AP15" s="474" t="str">
        <f>_xlfn.CONCAT(""&amp;(AQ15)&amp;" ("&amp;AR15&amp;")")</f>
        <v>Illinois (IL)</v>
      </c>
      <c r="AQ15" s="475" t="s">
        <v>319</v>
      </c>
      <c r="AR15" s="476" t="s">
        <v>320</v>
      </c>
      <c r="AS15" s="548" t="s">
        <v>321</v>
      </c>
      <c r="AV15" s="519" t="s">
        <v>322</v>
      </c>
      <c r="AW15" s="482" t="str" cm="1">
        <f t="array" ref="AW15">_xlfn.CONCAT((IF('Program Config'!$F$10&lt;&gt;"",_xlfn.CONCAT(""&amp;('Program Config'!$F$10)&amp;" "),"")&amp;"Program"&amp;(IF('Program Config'!$C$27&lt;&gt;"",_xlfn.CONCAT(" (ID #"&amp;('Program Config'!$C$27)&amp;")")&amp;"","")&amp;" updated and documented on JLB Ticket"&amp;IF(AND('Program Config'!$I$4="",'Program Config'!$C$6=""),". ","")&amp;IF(AND('Program Config'!$I$4&lt;&gt;"",'Program Config'!$C$6&lt;&gt;"")," (Link: "&amp;('Program Config'!$I$4)&amp;") and in the CRM DOC1 (Link: "&amp;('Program Config'!$C$6)&amp;"). ",""))&amp;IF(AND('Program Config'!$I$4&lt;&gt;"",'Program Config'!$C$6=""),(_xlfn.CONCAT(" (Link: "&amp;('Program Config'!$I$4)&amp;"). ")),"")&amp;IF(AND('Program Config'!$I$4="",'Program Config'!$C$4&lt;&gt;""),(_xlfn.CONCAT("; additional information can be found in the CRM Data Source [DOC1] (Link: "&amp;('Program Config'!$C$4)&amp;"). ")),"")&amp;"
"&amp;(IF(OR('Program Config'!$J$14="n/a",'Program Config'!$J$14="",'Program Config'!$J$14=0),"","Data verification process also initiated for "&amp;('Program Config'!$J$14)&amp;". ")&amp;(IF(OR('Program Contacts &amp; Kickoff'!$B$6:$B$15="Steven Ramos",'Program Contacts &amp; Kickoff'!$B$6:$B$15="Steve Ramos")," 
"," 
@Steven Ramos"))&amp;(IF(AX32&lt;&gt;"",_xlfn.CONCAT(" @"&amp;(AX32)),"")&amp;(IF(AX34&lt;&gt;"",_xlfn.CONCAT(" @"&amp;(AX34)),"")&amp;(IF(AT27&lt;&gt;"",_xlfn.CONCAT(" @"&amp;(AT27)),"")&amp;(IF(AT28&lt;&gt;"",_xlfn.CONCAT(" @"&amp;(AT28)),"")&amp;(IF(AT29&lt;&gt;"",_xlfn.CONCAT(" @"&amp;(AT29)),"")&amp;(IF(AT30&lt;&gt;"",_xlfn.CONCAT(" @"&amp;(AT30)),"")&amp;(IF(AT31&lt;&gt;"",_xlfn.CONCAT(" @"&amp;(AT31)),"")&amp;(IF(AT32&lt;&gt;"",_xlfn.CONCAT(" @"&amp;(AT32)),"")&amp;(IF(AT33&lt;&gt;"",_xlfn.CONCAT(" @"&amp;(AT33)),"")&amp;(IF(AT34&lt;&gt;"",_xlfn.CONCAT(" @"&amp;(AT34)),"")&amp;(IF(AT35&lt;&gt;"",_xlfn.CONCAT(" @"&amp;(AT35)),"")&amp;(IF(AT36&lt;&gt;"",_xlfn.CONCAT(" @"&amp;(AT36)),""))))))))))))))))</f>
        <v>DEMO Program (ID #2026) updated and documented on JLB Ticket; additional information can be found in the CRM Data Source [DOC1] (Link: https://www.linkedin.com/in/jo-ann-balsamo/). 
@Steven Ramos @Leah Adler @Gavin Park @m.chen@demodata.com</v>
      </c>
      <c r="AY15" s="541" t="s">
        <v>266</v>
      </c>
      <c r="AZ15" s="549" t="s">
        <v>205</v>
      </c>
      <c r="BA15" s="549"/>
      <c r="BB15" s="549"/>
      <c r="BC15" s="550" t="str">
        <f>_xlfn.CONCAT(""&amp;(Concats!$Q$74)&amp;"
"&amp;(Concats!$Q$75)&amp;"
"&amp;(Concats!$Q$76)&amp;"
"&amp;(Concats!$Q$77)&amp;"
"&amp;(Concats!$Q$78)&amp;"
"&amp;(Concats!$Q$79)&amp;"
"&amp;(Concats!$Q$80)&amp;"
"&amp;(Concats!$Q$81)&amp;"
"&amp;(Concats!$Q$82)&amp;"")</f>
        <v xml:space="preserve">This component is not necessary
</v>
      </c>
      <c r="BI15" s="264" t="str">
        <f t="shared" si="3"/>
        <v>m  |  M</v>
      </c>
      <c r="BJ15" s="507" t="s">
        <v>180</v>
      </c>
      <c r="BK15" s="487" t="str">
        <f t="shared" si="2"/>
        <v>M</v>
      </c>
    </row>
    <row r="16" spans="1:64" ht="45" customHeight="1" thickBot="1" x14ac:dyDescent="0.6">
      <c r="A16" s="551" t="s">
        <v>323</v>
      </c>
      <c r="B16" s="456" t="s">
        <v>626</v>
      </c>
      <c r="C16" s="457" t="s">
        <v>260</v>
      </c>
      <c r="D16" s="458" t="s">
        <v>260</v>
      </c>
      <c r="E16" s="459" t="s">
        <v>260</v>
      </c>
      <c r="F16" s="458" t="s">
        <v>260</v>
      </c>
      <c r="G16" s="459" t="s">
        <v>260</v>
      </c>
      <c r="H16" s="460" t="s">
        <v>260</v>
      </c>
      <c r="I16" s="459" t="s">
        <v>260</v>
      </c>
      <c r="J16" s="460" t="s">
        <v>260</v>
      </c>
      <c r="K16" s="459" t="s">
        <v>260</v>
      </c>
      <c r="L16" s="458" t="s">
        <v>260</v>
      </c>
      <c r="M16" s="459" t="s">
        <v>260</v>
      </c>
      <c r="N16" s="461" t="s">
        <v>260</v>
      </c>
      <c r="O16" s="458" t="s">
        <v>260</v>
      </c>
      <c r="P16" s="459" t="s">
        <v>260</v>
      </c>
      <c r="Q16" s="460" t="s">
        <v>260</v>
      </c>
      <c r="R16" s="459" t="s">
        <v>260</v>
      </c>
      <c r="S16" s="460" t="s">
        <v>260</v>
      </c>
      <c r="T16" s="462" t="s">
        <v>260</v>
      </c>
      <c r="U16" s="463" t="s">
        <v>260</v>
      </c>
      <c r="V16" s="458" t="s">
        <v>260</v>
      </c>
      <c r="W16" s="464" t="s">
        <v>260</v>
      </c>
      <c r="X16" s="459" t="s">
        <v>260</v>
      </c>
      <c r="Y16" s="458" t="s">
        <v>260</v>
      </c>
      <c r="Z16" s="459" t="s">
        <v>260</v>
      </c>
      <c r="AA16" s="459" t="s">
        <v>260</v>
      </c>
      <c r="AB16" s="465" t="s">
        <v>261</v>
      </c>
      <c r="AC16" s="466" t="str">
        <f>_xlfn.CONCAT(""&amp;(Concats!$I$2)&amp;"
"&amp;(Concats!$I$3)&amp;"
"&amp;(Concats!$I$4)&amp;"
"&amp;(Concats!$I$5)&amp;"
"&amp;(Concats!$I$6)&amp;"
"&amp;(Concats!$I$11)&amp;"")</f>
        <v>Adding Service Provider Details (#5 in LMS10 Application DemoData727e):
 -=- Service Provider Details -=-
•             SSO (ACS) URL:  https://www.linkedin.com/in/jo-ann-balsamoNONCE-nonce-NONCE2-nonce3-nonce
•             Entity ID (the same as the SSO URL):  https://www.linkedin.com/in/jo-ann-balsamoNONCE-nonce-NONCE2-nonce3-nonce
•             Start URL:  Leave Blank
•             Signed Response:  Checked
•             Name ID:  Basic Information, Primary Type1
•             Name ID Format:  Type1 (typically but uGENINTEGRATIONmately your choice as to this format)
-=- Attribute Mappings (please note that these "App Attributes" are case-sensitive) -=-
•             Primary Type1 -&gt; Type1
•             First Name -&gt; FirstName
•             Last Name -&gt; LastName
•             Department -&gt; custom_ap</v>
      </c>
      <c r="AD16" s="467" t="str">
        <f>_xlfn.CONCAT(UPPER(SUBSTITUTE(Concats!$A$8,"/","")))&amp;"-Adding Services Provider details"&amp;""</f>
        <v>LINKEDIN-Adding Services Provider details</v>
      </c>
      <c r="AE16" s="468" t="s">
        <v>626</v>
      </c>
      <c r="AF16" s="467" t="str">
        <f>Concats!$I$27</f>
        <v>These components are not necessary</v>
      </c>
      <c r="AG16" s="467" t="str">
        <f>_xlfn.CONCAT(""&amp;(Concats!$I$30)&amp;"")</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AH16" s="467" t="str">
        <f>_xlfn.CONCAT(""&amp;(Concats!$I$33)&amp;"
"&amp;(Concats!$I$34)&amp;"
"&amp;(Concats!$I$35)&amp;"
"&amp;(Concats!$I$36)&amp;"
"&amp;(Concats!$I$37)&amp;"
"&amp;(Concats!$I$38)&amp;"
"&amp;(Concats!$I$39)&amp;"
"&amp;(Concats!$I$40)&amp;"")</f>
        <v>DRAFT
Attach: XML + Video + JLB Logo + Customzied DemoData727e
Subject: DEMO / DemoData.com LMS4 Implementation
TO: w.barnes@demodata.com; t.navarro@demodata.com; n.reed@demodata.com
CC:  leah.adler@FakeDemoData.com; gavin.park@FakeDemoData.com; m.chen@demodata.com
BCC: victoria.lane@FakeDemoData.com
Good Morning,
It was so nice to meet everyone on the call today!
To configure your DemoData.com program/site, we’ll first need a copy of your LMS4 X.yxyz certificate.  Please send that at your earliest convenience so that we can attach it to your custom DemoData.com site for students to access through the LMS4 waffle. I’ve also MARKET2 a video walk through to help with integration. Please let me know if you would like to meet on a Teams call to go over these steps. 
****Insert Screen Shot HERE****
Once we’ve obtained your certificate, below is what you’ll need to setup our GENINTEGRATION service app in GSuite.  When you have the chance to set this up and do a test launch, please let me know and I’ll check our logs to make sure the right fields are coming across to us.  We’ll want to make sure a unique school identifier is coming across for reporting. 
MARKET2, please find: 
            · Reference DemoData727e for DemoData.com LMS10 Set-up  
            · Icon for DemoData.com app (note:  recommend naming new app DemoDataDotCom)  
            · Adding Service Provider Details (Step #5 in DemoData727e) 
            · Detailed Video Reference Walk through  
PLEASE NOTE: Prior to the Implementation team inputting the metadata that you send into our system; this is what you will see in your LMS4 AM view: 
****Insert Screen Shot HERE****
AFTER the metadata configuration, this is what you will see: 
****Insert Screenshot****
If you have any questions along the way, please let me know and I'll be happy to help.
Thank you,</v>
      </c>
      <c r="AI16" s="468" t="s">
        <v>943</v>
      </c>
      <c r="AJ16" s="469" t="s">
        <v>610</v>
      </c>
      <c r="AK16" s="470"/>
      <c r="AL16" s="470"/>
      <c r="AM16" s="471" t="str">
        <f>_xlfn.CONCAT(""&amp;(Concats!$I$46)&amp;"
"&amp;(Concats!$I$47)&amp;"")</f>
        <v>DRAFT
Attach: Program Preferences Sheet
Subject: DEMO / Program Preferences Sheet
TO: w.barnes@demodata.com; t.navarro@demodata.com; n.reed@demodata.com
CC:  leah.adler@FakeDemoData.com; gavin.park@FakeDemoData.com; m.chen@demodata.com
BCC: victoria.lane@FakeDemoData.com
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AN16" s="472" t="str">
        <f>_xlfn.CONCAT(""&amp;(Concats!$I$49)&amp;"")</f>
        <v>DEMO LATEST:  https://www.linkedin.com/in/jo-ann-balsamo
Username: linkedin@PRODUCT4.com 
PW: DemoData2026</v>
      </c>
      <c r="AO16" s="473" t="str">
        <f>_xlfn.CONCAT(""&amp;(Concats!$I$51)&amp;"")</f>
        <v>DEMO AP: https://www.linkedin.com/in//linkedin/AM
Username: linkedin@PRODUCT4.com
PW: DemoData2026</v>
      </c>
      <c r="AP16" s="474" t="str">
        <f t="shared" si="1"/>
        <v>Indiana (IN)</v>
      </c>
      <c r="AQ16" s="475" t="s">
        <v>324</v>
      </c>
      <c r="AR16" s="476" t="s">
        <v>325</v>
      </c>
      <c r="AS16" s="482" t="s">
        <v>585</v>
      </c>
      <c r="AV16" s="519" t="s">
        <v>859</v>
      </c>
      <c r="AW16" s="519" t="str" cm="1">
        <f t="array" ref="AW16">IF(AND('Program Config'!F10&lt;&gt;"",'Program Config'!C14&lt;&gt;""),(_xlfn.CONCAT(IF('Program Config'!$F$10&lt;&gt;"",_xlfn.CONCAT(""&amp;('Program Config'!$F$10)&amp;" ")&amp;"",""))&amp;"Program"&amp;(IF('Program Config'!$C$27&lt;&gt;"",_xlfn.CONCAT(" (ID #"&amp;('Program Config'!$C$27)&amp;")"),"")&amp;" migrated to"&amp;IF('Program Config'!$C$14&lt;&gt;"",_xlfn.CONCAT(" "&amp;('Program Config'!$C$14)&amp;". "),"")&amp;(IF(OR('Program Config'!$J$14="n/a",'Program Config'!$J$14="",'Program Config'!$J$14=0),"","Data verification process also initiated for "&amp;('Program Config'!$J$14)&amp;". ")&amp;""&amp;"
"&amp;IF(AND('Program Config'!$I$4&lt;&gt;"",'Program Config'!$C$6&lt;&gt;""),(_xlfn.CONCAT("Additional Information can be found in the JLB Migration Ticket (Link: "&amp;('Program Config'!$I$4)&amp;") and the CRM DOC1 (Link: "&amp;('Program Config'!$C$6)&amp;"). ")),"")&amp;IF(AND('Program Config'!$I$4&lt;&gt;"",'Program Config'!$C$6=""),(_xlfn.CONCAT("Additional Information can be found in the JLB Migration Ticket (Link: "&amp;('Program Config'!$I$4)&amp;"). ")),"")&amp;IF(AND('Program Config'!$I$4="",'Program Config'!$C$4&lt;&gt;""),(_xlfn.CONCAT("Additional Information can be found in the CRM Data Source [DOC1] (Link: "&amp;('Program Config'!$C$4)&amp;"). ")),"")&amp;IF(OR('Program Contacts &amp; Kickoff'!$B$6:$B$15="Steven Ramos",'Program Contacts &amp; Kickoff'!$B$6:$B$15="Steve Ramos"),". 
"," 
@Steven Ramos"))&amp;(IF(AX32&lt;&gt;"",_xlfn.CONCAT(" @"&amp;(AX32)),"")&amp;(IF(AX34&lt;&gt;"",_xlfn.CONCAT(" @"&amp;(AX34)),"")&amp;(IF(AT27&lt;&gt;"",_xlfn.CONCAT(" @"&amp;(AT27)),"")&amp;(IF(AT28&lt;&gt;"",_xlfn.CONCAT(" @"&amp;(AT28)),"")&amp;(IF(AT29&lt;&gt;"",_xlfn.CONCAT(" @"&amp;(AT29)),"")&amp;(IF(AT30&lt;&gt;"",_xlfn.CONCAT(" @"&amp;(AT30)),"")&amp;(IF(AT31&lt;&gt;"",_xlfn.CONCAT(" @"&amp;(AT31)),"")&amp;(IF(AT32&lt;&gt;"",_xlfn.CONCAT(" @"&amp;(AT32)),"")&amp;(IF(AT33&lt;&gt;"",_xlfn.CONCAT(" @"&amp;(AT33)),"")&amp;(IF(AT34&lt;&gt;"",_xlfn.CONCAT(" @"&amp;(AT34)),"")&amp;(IF(AT35&lt;&gt;"",_xlfn.CONCAT(" @"&amp;(AT35)),"")&amp;(IF(AT36&lt;&gt;"",_xlfn.CONCAT(" @"&amp;(AT36)),""))))))))))))))),"Program Configured for GENINTEGRATION 31 Migration")</f>
        <v>DEMO Program (ID #2026) migrated to LMS1 - GENINTEGRATION 31 Link &amp; Course NAV. 
Additional Information can be found in the CRM Data Source [DOC1] (Link: https://www.linkedin.com/in/jo-ann-balsamo/).  
@Steven Ramos @Leah Adler @Gavin Park @m.chen@demodata.com</v>
      </c>
      <c r="BI16" s="264" t="str">
        <f t="shared" si="3"/>
        <v>n  |  N</v>
      </c>
      <c r="BJ16" s="507" t="s">
        <v>181</v>
      </c>
      <c r="BK16" s="487" t="str">
        <f t="shared" si="2"/>
        <v>N</v>
      </c>
    </row>
    <row r="17" spans="1:63" ht="45" customHeight="1" thickBot="1" x14ac:dyDescent="0.6">
      <c r="A17" s="552" t="s">
        <v>326</v>
      </c>
      <c r="B17" s="456" t="s">
        <v>860</v>
      </c>
      <c r="C17" s="509" t="s">
        <v>851</v>
      </c>
      <c r="D17" s="510" t="s">
        <v>852</v>
      </c>
      <c r="E17" s="511" t="str" cm="1">
        <f t="array" ref="E17">(_xlfn.IFS('Program Config'!$N$28=0,"This component requires the LMS5 Client-Specific Environment",'Program Config'!$N$28="n/a","",'Program Config'!$N$28&gt;0,'Program Config'!$N$28))</f>
        <v>This component requires the LMS5 Client-Specific Environment</v>
      </c>
      <c r="F17" s="510" t="s">
        <v>764</v>
      </c>
      <c r="G17" s="511" t="str" cm="1">
        <f t="array" ref="G17">(_xlfn.IFS('Program Config'!$N$27=0,"This component requires the LMS5 Client-Specific Environment",'Program Config'!$N$27="n/a","",'Program Config'!$N$27&gt;0,'Program Config'!$N$27))</f>
        <v>This component requires the LMS5 Client-Specific Environment</v>
      </c>
      <c r="H17" s="512" t="s">
        <v>760</v>
      </c>
      <c r="I17" s="511" t="str" cm="1">
        <f t="array" ref="I17">(_xlfn.IFS('Program Config'!$N$30=0,"This component requires the LMS5 Client-Specific Environment",'Program Config'!$N$30="n/a","",'Program Config'!$N$30&gt;0,'Program Config'!$N$30))</f>
        <v>This component requires the LMS5 Client-Specific Environment</v>
      </c>
      <c r="J17" s="512" t="s">
        <v>745</v>
      </c>
      <c r="K17" s="511" t="str" cm="1">
        <f t="array" ref="K17">IF('Program Config'!$N$29="",(_xlfn.IFS('Program Config'!$N$27="","This component requires the LMS5 Client-Specific Environment",'Program Config'!$N$27="n/a","",'Program Config'!$N$27&lt;&gt;"",_xlfn.CONCAT('Program Config'!$N$27,"/LMS5/.well-known/jwks"))),'Program Config'!$N$29)</f>
        <v>This component requires the LMS5 Client-Specific Environment</v>
      </c>
      <c r="L17" s="510" t="s">
        <v>273</v>
      </c>
      <c r="M17" s="511" t="str" cm="1">
        <f t="array" ref="M17">(_xlfn.IFS('Program Config'!$N$32=0,"This component requires the LMS5 Client-Specific Environment",'Program Config'!$N$32="n/a","",'Program Config'!$N$32&gt;0,'Program Config'!$N$32))</f>
        <v>This component requires the LMS5 Client-Specific Environment</v>
      </c>
      <c r="N17" s="513" t="s">
        <v>853</v>
      </c>
      <c r="O17" s="510" t="s">
        <v>275</v>
      </c>
      <c r="P17" s="511" t="str">
        <f>IF('Program Config'!$C$34="n/a","n/a",IF(AND('Program Config'!$C$34&lt;&gt;"",'Program Config'!$C$28&lt;&gt;""),_xlfn.CONCAT("https://www.linkedin.com/in/jo-ann-balsamo"&amp;(SUBSTITUTE('Program Config'!$C$34,"https://www.linkedin.com/in/jo-ann-balsamo",""))&amp;"/"&amp;('Program Config'!$C$28)&amp;""),"This component requires the DemoData3 Client URL &amp; the Program DemoData727"))</f>
        <v>https://www.linkedin.com/in/jo-ann-balsamo//NONCE-nonce-NONCE2-nonce3-nonce</v>
      </c>
      <c r="Q17" s="512" t="s">
        <v>764</v>
      </c>
      <c r="R17" s="526" t="str">
        <f>IF('Program Config'!G58&lt;&gt;"","This component will be configured by DemoData3","This component will be configured by DemoData3")</f>
        <v>This component will be configured by DemoData3</v>
      </c>
      <c r="S17" s="512" t="s">
        <v>273</v>
      </c>
      <c r="T17" s="527" t="str">
        <f>IF('Program Config'!G59&lt;&gt;"","This component will be configured by DemoData3","This component will be configured by DemoData3")</f>
        <v>This component will be configured by DemoData3</v>
      </c>
      <c r="U17" s="528" t="str">
        <f>IF('Program Config'!H59&lt;&gt;"","This component will be configured by DemoData3","This component will be configured by DemoData3")</f>
        <v>This component will be configured by DemoData3</v>
      </c>
      <c r="V17" s="510" t="str">
        <f>IF('Program Config'!$J$1="LEGACY","LEGACY ILU", "LATEST ILU")</f>
        <v>LATEST ILU</v>
      </c>
      <c r="W17" s="529" t="s">
        <v>610</v>
      </c>
      <c r="X17" s="517" t="s">
        <v>610</v>
      </c>
      <c r="Y17" s="510" t="str">
        <f>IF('Program Config'!$J$1="LEGACY","LEGACY Redirection URL", "LATEST Redirection URL")</f>
        <v>LATEST Redirection URL</v>
      </c>
      <c r="Z17" s="526" t="s">
        <v>610</v>
      </c>
      <c r="AA17" s="517" t="s">
        <v>610</v>
      </c>
      <c r="AB17" s="466" t="str">
        <f>_xlfn.CONCAT(""&amp;(Concats!$Y$2)&amp;"")</f>
        <v>This component is not necessary</v>
      </c>
      <c r="AC17" s="466" t="str">
        <f>_xlfn.CONCAT(""&amp;(Concats!$Y$2)&amp;"")</f>
        <v>This component is not necessary</v>
      </c>
      <c r="AD17" s="466" t="str">
        <f>_xlfn.CONCAT(""&amp;(Concats!$Y$2)&amp;"")</f>
        <v>This component is not necessary</v>
      </c>
      <c r="AE17" s="468" t="s">
        <v>811</v>
      </c>
      <c r="AF17" s="467" t="str">
        <f>Concats!$Y$27</f>
        <v xml:space="preserve">DemoData27:  Nonce7
DemoData72:  Nocne8
URL:  https://www.linkedin.com/in/jo-ann-balsamo/ </v>
      </c>
      <c r="AG17" s="467" t="str">
        <f>_xlfn.CONCAT(""&amp;(Concats!$Y$30)&amp;"")</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AH17" s="467" t="str">
        <f>_xlfn.CONCAT(""&amp;(Concats!$AC$33)&amp;"
"&amp;(Concats!$AC$34)&amp;"
"&amp;(Concats!$AC$35)&amp;"
"&amp;(Concats!$AC$36)&amp;"")</f>
        <v>DRAFT
Attach: Customized JLB Client DemoData727e LMS5 GENINTEGRATION 31
TO: w.barnes@demodata.com; t.navarro@demodata.com; n.reed@demodata.com
CC:  leah.adler@FakeDemoData.com; gavin.park@FakeDemoData.com; m.chen@demodata.com
BCC: victoria.lane@FakeDemoData.com
Good Morning,
My name is Victoria Lane and I am your DemoData.com Implementation Manager; it’s nice to meet you virtually!
Thank you, in advance, for helping us integrate DemoData.com as an GENINTEGRATION tool in your LMS5 LMS.  The N37MARKET2 Client DemoData727e has the information you will need to complete the set up.
In order to complete the configuration on our end, we will need 5 pieces of information from your set up:
1.	LMS5 CID - Detailed in Step 1 on Page 4 of the MARKET2 Client DemoData727e 
2.	LMS5 Issuer - Detailed in Step 1 on Page 4 of the MARKET2 Client DemoData727e
3.	LMS5 Public DemoData27set URL  - Detailed in Step 1 on Page 4 of the MARKET2 Client DemoData727e
4.	LMS5 OpenID Connect OA EP - Detailed in Step 1 on Page 4 of the MARKET2 Client DemoData727e
5.	Deployment ID - Detailed in Step 2-7 on Page 7 of the MARKET2 Client DemoData727e
You can use the table below in a reply Type1 to send me all 5 pieces of data; I will respond to let you know the configuration has been completed and it is okay to proceed with testing.
****Insert Table Here****
Please Note:  The tool will not launch until all data strings are added to the configuration.
Once ready, please let me know when you have completed a couple of tests by launching from both student and teacher accounts in varying courses. I will review the data to verify that we have captured /mapped the user and course IDs most suitable for reporting.
If you have any questions about the configuration, please let me know.
Thank you,</v>
      </c>
      <c r="AI17" s="468" t="s">
        <v>944</v>
      </c>
      <c r="AJ17" s="469" t="s">
        <v>610</v>
      </c>
      <c r="AK17" s="500" t="s">
        <v>945</v>
      </c>
      <c r="AL17" s="470" t="s">
        <v>610</v>
      </c>
      <c r="AM17" s="471" t="str">
        <f>_xlfn.CONCAT(""&amp;(Concats!$Y$46)&amp;"
"&amp;(Concats!$Y$47)&amp;"")</f>
        <v>DRAFT
Attach: Program Preferences Sheet
Subject: DEMO / Program Preferences Sheet
TO: w.barnes@demodata.com; t.navarro@demodata.com; n.reed@demodata.com
CC:  leah.adler@FakeDemoData.com; gavin.park@FakeDemoData.com; m.chen@demodata.com
BCC: victoria.lane@FakeDemoData.com
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AN17" s="472" t="str">
        <f>_xlfn.CONCAT(""&amp;(Concats!$Y$49)&amp;"")</f>
        <v>DEMO LATEST:  https://www.linkedin.com/in/jo-ann-balsamo
Username: linkedin@PRODUCT4.com 
PW: DemoData2026</v>
      </c>
      <c r="AO17" s="473" t="str">
        <f>_xlfn.CONCAT(""&amp;(Concats!$Y$51)&amp;"")</f>
        <v>DEMO AP: https://www.linkedin.com/in//linkedin/AM
Username: linkedin@PRODUCT4.com
PW: DemoData2026</v>
      </c>
      <c r="AP17" s="474" t="str">
        <f t="shared" si="1"/>
        <v>Iowa (IA)</v>
      </c>
      <c r="AQ17" s="475" t="s">
        <v>327</v>
      </c>
      <c r="AR17" s="476" t="s">
        <v>328</v>
      </c>
      <c r="AS17" s="519" t="s">
        <v>588</v>
      </c>
      <c r="AV17" s="519" t="s">
        <v>329</v>
      </c>
      <c r="AW17" s="519" t="str" cm="1">
        <f t="array" ref="AW17">IF(OR('Program Config'!F10&lt;&gt;"",'Program Config'!C14&lt;&gt;""),(_xlfn.CONCAT(IF('Program Config'!$F$10&lt;&gt;"",_xlfn.CONCAT("Data verification process initiated for rostering in "&amp;('Program Config'!$F$10)&amp;" "),"")&amp;"Program"&amp;(IF('Program Config'!$C$27&lt;&gt;"",_xlfn.CONCAT(" (ID #"&amp;('Program Config'!$C$27)&amp;"). "),". ")&amp;IF(AND('Program Config'!$C$14&lt;&gt;"",'Program Config'!$J$14&lt;&gt;""),_xlfn.CONCAT("Program is integrated via "&amp;('Program Config'!$C$14)&amp;" and implementing "&amp;('Program Config'!$J$14)&amp;". "),"")&amp;IF(AND('Program Config'!$C$14&lt;&gt;"",'Program Config'!$J$14=""),_xlfn.CONCAT("Program is integrated via "&amp;('Program Config'!$C$14)&amp;". ")," ")&amp;IF(AND('Program Config'!$C$14="",'Program Config'!$J$14&lt;&gt;""),_xlfn.CONCAT("Program is rostering via "&amp;('Program Config'!$J$14)&amp;". ")," ")&amp;"
"&amp;IF(AND('Program Config'!$I$4&lt;&gt;"",'Program Config'!$C$4&lt;&gt;""),"Additional information can be found in the JLB Rostering Ticket (Link: "&amp;('Program Config'!$I$4)&amp;") and the CRM Data Source [DOC1] (Link: "&amp;('Program Config'!$C$4)&amp;"). ",""))&amp;IF(AND('Program Config'!$I$4&lt;&gt;"",'Program Config'!$C$6=""),(_xlfn.CONCAT("Additional Information can be found in the JLB Rostering Ticket (Link: "&amp;('Program Config'!$I$4)&amp;"). ")),"")&amp;IF(AND('Program Config'!$I$4="",'Program Config'!$C$4&lt;&gt;""),(_xlfn.CONCAT("Additional Information can be found in the CRM Data Source [DOC1] (Link: "&amp;('Program Config'!$C$4)&amp;"). ")),"")&amp;(IF(OR('Program Contacts &amp; Kickoff'!$B$6:$B$15="Steven Ramos",'Program Contacts &amp; Kickoff'!$B$6:$B$15="Steve Ramos")," 
","
@Steven Ramos"))&amp;(IF(AX32&lt;&gt;"",_xlfn.CONCAT(" @"&amp;(AX32)),"")&amp;(IF(AX34&lt;&gt;"",_xlfn.CONCAT(" @"&amp;(AX34)),"")&amp;(IF(AT27&lt;&gt;"",_xlfn.CONCAT(" @"&amp;(AT27)),"")&amp;(IF(AT28&lt;&gt;"",_xlfn.CONCAT(" @"&amp;(AT28)),"")&amp;(IF(AT29&lt;&gt;"",_xlfn.CONCAT(" @"&amp;(AT29)),"")&amp;(IF(AT30&lt;&gt;"",_xlfn.CONCAT(" @"&amp;(AT30)),"")&amp;(IF(AT31&lt;&gt;"",_xlfn.CONCAT(" @"&amp;(AT31)),"")&amp;(IF(AT32&lt;&gt;"",_xlfn.CONCAT(" @"&amp;(AT32)),"")&amp;(IF(AT33&lt;&gt;"",_xlfn.CONCAT(" @"&amp;(AT33)),"")&amp;(IF(AT34&lt;&gt;"",_xlfn.CONCAT(" @"&amp;(AT34)),"")&amp;(IF(AT35&lt;&gt;"",_xlfn.CONCAT(" @"&amp;(AT35)),"")&amp;(IF(AT36&lt;&gt;"",_xlfn.CONCAT(" @"&amp;(AT36)),""))))))))))))))),"Data verification process initiated for rostering.")</f>
        <v>Data verification process initiated for rostering in DEMO Program (ID #2026). Program is integrated via LMS1 - GENINTEGRATION 31 Link &amp; Course NAV.  
Additional Information can be found in the CRM Data Source [DOC1] (Link: https://www.linkedin.com/in/jo-ann-balsamo/). 
@Steven Ramos @Leah Adler @Gavin Park @m.chen@demodata.com</v>
      </c>
      <c r="BI17" s="264" t="str">
        <f t="shared" si="3"/>
        <v>o  |  O</v>
      </c>
      <c r="BJ17" s="507" t="s">
        <v>182</v>
      </c>
      <c r="BK17" s="487" t="str">
        <f t="shared" si="2"/>
        <v>O</v>
      </c>
    </row>
    <row r="18" spans="1:63" ht="45" customHeight="1" x14ac:dyDescent="0.55000000000000004">
      <c r="A18" s="553" t="s">
        <v>330</v>
      </c>
      <c r="B18" s="456" t="s">
        <v>878</v>
      </c>
      <c r="C18" s="509" t="s">
        <v>871</v>
      </c>
      <c r="D18" s="458" t="s">
        <v>743</v>
      </c>
      <c r="E18" s="459" t="str">
        <f>IF('Program Config'!$C$30&lt;&gt;"",'Program Config'!$C$30,"This component has not been configured yet")</f>
        <v>Nonce7</v>
      </c>
      <c r="F18" s="458" t="s">
        <v>726</v>
      </c>
      <c r="G18" s="459" t="str">
        <f>IF('Program Config'!$C$31&lt;&gt;"",'Program Config'!$C$31,"This component has not been configured yet")</f>
        <v>Nocne8</v>
      </c>
      <c r="H18" s="460" t="s">
        <v>260</v>
      </c>
      <c r="I18" s="459" t="s">
        <v>260</v>
      </c>
      <c r="J18" s="460" t="s">
        <v>260</v>
      </c>
      <c r="K18" s="459" t="s">
        <v>260</v>
      </c>
      <c r="L18" s="458" t="s">
        <v>260</v>
      </c>
      <c r="M18" s="459" t="s">
        <v>260</v>
      </c>
      <c r="N18" s="513" t="s">
        <v>872</v>
      </c>
      <c r="O18" s="458" t="s">
        <v>743</v>
      </c>
      <c r="P18" s="459" t="str">
        <f>IF('Program Config'!$C$30&lt;&gt;"",'Program Config'!$C$30,"This component has not been configured yet")</f>
        <v>Nonce7</v>
      </c>
      <c r="Q18" s="460" t="s">
        <v>726</v>
      </c>
      <c r="R18" s="493" t="str">
        <f>IF('Program Config'!$C$31&lt;&gt;"",'Program Config'!$C$31,"This component has not been configured yet")</f>
        <v>Nocne8</v>
      </c>
      <c r="S18" s="495" t="str">
        <f>IF('Program Config'!$J$1="LEGACY","LEGACY GENINTEGRATION 22 EP", "LATEST GENINTEGRATION 22 EP")</f>
        <v>LATEST GENINTEGRATION 22 EP</v>
      </c>
      <c r="T18" s="514" t="s">
        <v>610</v>
      </c>
      <c r="U18" s="497" t="s">
        <v>610</v>
      </c>
      <c r="V18" s="458" t="s">
        <v>260</v>
      </c>
      <c r="W18" s="464" t="s">
        <v>260</v>
      </c>
      <c r="X18" s="459" t="s">
        <v>260</v>
      </c>
      <c r="Y18" s="458" t="s">
        <v>260</v>
      </c>
      <c r="Z18" s="459" t="s">
        <v>260</v>
      </c>
      <c r="AA18" s="459" t="s">
        <v>260</v>
      </c>
      <c r="AB18" s="465" t="s">
        <v>261</v>
      </c>
      <c r="AC18" s="466" t="str">
        <f>_xlfn.CONCAT(""&amp;(Concats!$L$2)&amp;"
"&amp;(Concats!$L$3)&amp;"
"&amp;(Concats!$L$4)&amp;"")</f>
        <v>Activity name:  DemoData.com - 24/7 Online DemoDataing
Preconfigured tool:  Automatic, based on tool URL
Tool URL:   https://www.linkedin.com/in/jo-ann-balsamo/
Launch container:  New Window
Secure tool URL:   https://www.linkedin.com/in/jo-ann-balsamo/
Consumer DemoData27:  Nonce7
Shared DemoData72:  Nocne8
Icon URL:  https://www.linkedin.com/in/jo-ann-balsamo
Secure Icon URL:  https://www.linkedin.com/in/jo-ann-balsamo
Share launcher's name with the tool:  Checked
Share launcher's Type1 with the tool:  Checked
Accept grades from the tool:  Unchecked</v>
      </c>
      <c r="AD18" s="467" t="str">
        <f>_xlfn.CONCAT(UPPER(SUBSTITUTE(Concats!$A$8,"/","")))&amp;"_JLB_GENINTEGRATION_parameters_LMS6"&amp;""</f>
        <v>LINKEDIN_JLB_GENINTEGRATION_parameters_LMS6</v>
      </c>
      <c r="AE18" s="468" t="s">
        <v>812</v>
      </c>
      <c r="AF18" s="467" t="str">
        <f>Concats!$L$27</f>
        <v xml:space="preserve">DemoData27:  Nonce7
DemoData72:  Nocne8
URL:  https://www.linkedin.com/in/jo-ann-balsamo/ </v>
      </c>
      <c r="AG18" s="467" t="str">
        <f>_xlfn.CONCAT(""&amp;(Concats!$L$30)&amp;"")</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AH18" s="467" t="str">
        <f>_xlfn.CONCAT(""&amp;(Concats!$L$33)&amp;"
"&amp;(Concats!$L$34)&amp;"
"&amp;(Concats!$L$35)&amp;"")</f>
        <v>DRAFT
Attach: XML + LMS6 Client DemoData727e
Subject: DEMO / DemoData.com LMS6 Implementation
TO: w.barnes@demodata.com; t.navarro@demodata.com; n.reed@demodata.com
CC:  leah.adler@FakeDemoData.com; gavin.park@FakeDemoData.com; m.chen@demodata.com
BCC: victoria.lane@FakeDemoData.com
Good Morning,
My name is Victoria Lane and I’ll be your Implementation Manager at DemoData.com, it’s nice to meet you virtually. Please feel free to forward this Type1 onto your LMS6 AM or IT staff that will be setting up the DemoData.com integration.
MARKET2 are the parameters (including the GENINTEGRATION DemoData27, DemoData72, and Tool URL for your school’s customized DemoData.com program) that you'll need to setup access to DemoData.com as an External Tool/Activity in LMS6.  Please let me know when you’ve been able to test-launch it.   
I’ll need to look at our logs and make sure that we map the right fields for course and user IDs. For additional information on how to install DemoData.com as an GENINTEGRATION tool in LMS6, you can reference the MARKET2 DemoData727e.
Once you’ve been able to test-launch this tool, please let me know so that I can check the GENINTEGRATION data and map user and course IDs according to your preferences.  
I look forward to working with you all!
Thank you,</v>
      </c>
      <c r="AI18" s="468" t="s">
        <v>946</v>
      </c>
      <c r="AJ18" s="469" t="s">
        <v>610</v>
      </c>
      <c r="AK18" s="470"/>
      <c r="AL18" s="470"/>
      <c r="AM18" s="471" t="str">
        <f>_xlfn.CONCAT(""&amp;(Concats!$L$46)&amp;"
"&amp;(Concats!$L$47)&amp;"")</f>
        <v>DRAFT
Attach: Program Preferences Sheet
Subject: DEMO / Program Preferences Sheet
TO: w.barnes@demodata.com; t.navarro@demodata.com; n.reed@demodata.com
CC:  leah.adler@FakeDemoData.com; gavin.park@FakeDemoData.com; m.chen@demodata.com
BCC: victoria.lane@FakeDemoData.com
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AN18" s="472" t="str">
        <f>_xlfn.CONCAT(""&amp;(Concats!$L$49)&amp;"")</f>
        <v>DEMO LATEST:  https://www.linkedin.com/in/jo-ann-balsamo
Username: linkedin@PRODUCT4.com 
PW: DemoData2026</v>
      </c>
      <c r="AO18" s="473" t="str">
        <f>_xlfn.CONCAT(""&amp;(Concats!$L$51)&amp;"")</f>
        <v>DEMO AP: https://www.linkedin.com/in//linkedin/AM
Username: linkedin@PRODUCT4.com
PW: DemoData2026</v>
      </c>
      <c r="AP18" s="474" t="str">
        <f t="shared" si="1"/>
        <v>Kansas (KS)</v>
      </c>
      <c r="AQ18" s="475" t="s">
        <v>331</v>
      </c>
      <c r="AR18" s="476" t="s">
        <v>332</v>
      </c>
      <c r="BI18" s="264" t="str">
        <f t="shared" si="3"/>
        <v>p  |  P</v>
      </c>
      <c r="BJ18" s="507" t="s">
        <v>183</v>
      </c>
      <c r="BK18" s="487" t="str">
        <f t="shared" si="2"/>
        <v>P</v>
      </c>
    </row>
    <row r="19" spans="1:63" ht="45" customHeight="1" thickBot="1" x14ac:dyDescent="0.6">
      <c r="A19" s="554" t="s">
        <v>333</v>
      </c>
      <c r="B19" s="456" t="s">
        <v>861</v>
      </c>
      <c r="C19" s="509" t="s">
        <v>851</v>
      </c>
      <c r="D19" s="510" t="s">
        <v>852</v>
      </c>
      <c r="E19" s="511" t="str" cm="1">
        <f t="array" ref="E19">_xlfn.IFS('Program Config'!$N$27="","This component requires the LMS6 Client-Specific Environment",'Program Config'!$N$27="n/a","",'Program Config'!$N$27&lt;&gt;"",'Program Config'!$N$27,TRUE,"This compenent requires the LMS6 Client-Specific Environment")</f>
        <v>This component requires the LMS6 Client-Specific Environment</v>
      </c>
      <c r="F19" s="510" t="s">
        <v>764</v>
      </c>
      <c r="G19" s="511" t="str" cm="1">
        <f t="array" ref="G19">_xlfn.IFS('Program Config'!$N$28="","This component requires the LMS6 Client-Specific Environment",'Program Config'!$N$28="n/a","",'Program Config'!$N$28&lt;&gt;"",'Program Config'!$N$28,TRUE,"This compenent requires the LMS6 Client-Specific Environment")</f>
        <v>This component requires the LMS6 Client-Specific Environment</v>
      </c>
      <c r="H19" s="512" t="s">
        <v>760</v>
      </c>
      <c r="I19" s="511" t="str" cm="1">
        <f t="array" ref="I19">_xlfn.IFS('Program Config'!$N$32="","This component requires the LMS6 Client-Specific Environment",'Program Config'!$N$32="n/a","",'Program Config'!$N$32&lt;&gt;"",'Program Config'!$N$32,TRUE,"This compenent requires the LMS6 Client-Specific Environment")</f>
        <v>This component requires the LMS6 Client-Specific Environment</v>
      </c>
      <c r="J19" s="512" t="s">
        <v>745</v>
      </c>
      <c r="K19" s="511" t="str" cm="1">
        <f t="array" ref="K19">_xlfn.IFS('Program Config'!$N$30="","This component requires the LMS6 Client-Specific Environment",'Program Config'!$N$30="n/a","",'Program Config'!$N$30&lt;&gt;"",'Program Config'!$N$30,TRUE,"This compenent requires the LMS6 Client-Specific Environment")</f>
        <v>This component requires the LMS6 Client-Specific Environment</v>
      </c>
      <c r="L19" s="510" t="s">
        <v>273</v>
      </c>
      <c r="M19" s="511" t="str" cm="1">
        <f t="array" ref="M19">_xlfn.IFS('Program Config'!$N$29="","This component requires the LMS6 Client-Specific Environment",'Program Config'!$N$29="n/a","",'Program Config'!$N$29&lt;&gt;"",'Program Config'!$N$29,TRUE,"This compenent requires the LMS6 Client-Specific Environment")</f>
        <v>This component requires the LMS6 Client-Specific Environment</v>
      </c>
      <c r="N19" s="513" t="s">
        <v>853</v>
      </c>
      <c r="O19" s="510" t="s">
        <v>275</v>
      </c>
      <c r="P19" s="511" t="str">
        <f>IF('Program Config'!$C$34="n/a","n/a",IF(AND('Program Config'!$C$34&lt;&gt;"",'Program Config'!$C$28&lt;&gt;""),_xlfn.CONCAT("https://www.linkedin.com/in/jo-ann-balsamo"&amp;(SUBSTITUTE('Program Config'!$C$34,"https://www.linkedin.com/in/jo-ann-balsamo",""))&amp;"/"&amp;('Program Config'!$C$28)&amp;""),"This component requires the DemoData3 Client URL &amp; the Program DemoData727"))</f>
        <v>https://www.linkedin.com/in/jo-ann-balsamo//NONCE-nonce-NONCE2-nonce3-nonce</v>
      </c>
      <c r="Q19" s="512" t="s">
        <v>764</v>
      </c>
      <c r="R19" s="511" t="str">
        <f>IF('Program Config'!G44&lt;&gt;"","This component will be configured by DemoData3","This component will be configured by DemoData3")</f>
        <v>This component will be configured by DemoData3</v>
      </c>
      <c r="S19" s="512" t="s">
        <v>273</v>
      </c>
      <c r="T19" s="514" t="str">
        <f>IF('Program Config'!G45&lt;&gt;"","This component will be configured by DemoData3","This component will be configured by DemoData3")</f>
        <v>This component will be configured by DemoData3</v>
      </c>
      <c r="U19" s="515" t="str">
        <f>IF('Program Config'!H45&lt;&gt;"","This component will be configured by DemoData3","This component will be configured by DemoData3")</f>
        <v>This component will be configured by DemoData3</v>
      </c>
      <c r="V19" s="510" t="str">
        <f>IF('Program Config'!$J$1="LEGACY","LEGACY ILU", "LATEST ILU")</f>
        <v>LATEST ILU</v>
      </c>
      <c r="W19" s="516" t="s">
        <v>610</v>
      </c>
      <c r="X19" s="517" t="s">
        <v>610</v>
      </c>
      <c r="Y19" s="510" t="str">
        <f>IF('Program Config'!$J$1="LEGACY","LEGACY Redirection URL", "LATEST Redirection URL")</f>
        <v>LATEST Redirection URL</v>
      </c>
      <c r="Z19" s="511" t="s">
        <v>610</v>
      </c>
      <c r="AA19" s="517" t="s">
        <v>610</v>
      </c>
      <c r="AB19" s="466" t="str">
        <f>_xlfn.CONCAT(""&amp;(Concats!$AE$2)&amp;"")</f>
        <v>This component is not necessary</v>
      </c>
      <c r="AC19" s="466" t="str">
        <f>_xlfn.CONCAT(""&amp;(Concats!$AE$2)&amp;"")</f>
        <v>This component is not necessary</v>
      </c>
      <c r="AD19" s="467" t="str">
        <f>_xlfn.CONCAT(""&amp;(Concats!$AE$2)&amp;"")</f>
        <v>This component is not necessary</v>
      </c>
      <c r="AE19" s="468" t="s">
        <v>813</v>
      </c>
      <c r="AF19" s="467" t="str">
        <f>Concats!$AE$27</f>
        <v xml:space="preserve">DemoData27:  Nonce7
DemoData72:  Nocne8
URL:  https://www.linkedin.com/in/jo-ann-balsamo/ </v>
      </c>
      <c r="AG19" s="467" t="str">
        <f>_xlfn.CONCAT(""&amp;(Concats!$AE$30)&amp;"")</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AH19" s="467" t="str">
        <f>_xlfn.CONCAT(""&amp;(Concats!$AE$33)&amp;"
"&amp;(Concats!$AE$34)&amp;" 
"&amp;(Concats!$AE$35)&amp;"")</f>
        <v>DRAFT
Attach: Customized LMS6 Client DemoData727e
Subject: DEMO / DemoData.com LMS6 Integration
TO: w.barnes@demodata.com; t.navarro@demodata.com; n.reed@demodata.com
CC:  leah.adler@FakeDemoData.com; gavin.park@FakeDemoData.com; m.chen@demodata.com
BCC: victoria.lane@FakeDemoData.com
Good Morning,
My name is Victoria Lane and I am your DemoData.com Implementation Manager; it’s nice to meet you virtually!
Thank you, in advance, for helping us integrate DemoData.com as an GENINTEGRATION tool in LMS6.  The MARKET2 Client DemoData727e has the information you will need to complete the set up. 
 In the MARKET2 DemoData727e you will find the steps and parameters necessary to do so.  Once you have completed all the steps, please send me the Tool Configuration Details (see screenshot example below) that are necessary for me to finish your DemoData.com program configuration.  The best way to do this is to utilize the "Type1" button at the bottom of the pop-up (this step is detailed on page 7 of the MARKET2 DemoData727e). 
*******Insert Screenshot HERE******
Please note:  The tool will not launch until the configuration details have been added to the build.  Once received, I will update the program build and let you know to start testing.  
Once ready, please let me know when you have completed a couple of tests by launching from both student and teacher accounts in varying courses. I will review the data to verify that we have captured /mapped the user and course IDs most suitable for reporting.
If you have any questions about the configuration, please let me know.
Thank you,</v>
      </c>
      <c r="AI19" s="468" t="s">
        <v>947</v>
      </c>
      <c r="AJ19" s="469" t="s">
        <v>610</v>
      </c>
      <c r="AK19" s="500" t="s">
        <v>948</v>
      </c>
      <c r="AL19" s="470" t="s">
        <v>610</v>
      </c>
      <c r="AM19" s="471" t="str">
        <f>_xlfn.CONCAT(""&amp;(Concats!$AE$46)&amp;"
"&amp;(Concats!$AE$47)&amp;"")</f>
        <v>DRAFT
Attach: Program Preferences Sheet
Subject: DEMO / Program Preferences Sheet
TO: w.barnes@demodata.com; t.navarro@demodata.com; n.reed@demodata.com
CC:  leah.adler@FakeDemoData.com; gavin.park@FakeDemoData.com; m.chen@demodata.com
BCC: victoria.lane@FakeDemoData.com
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AN19" s="472" t="str">
        <f>_xlfn.CONCAT(""&amp;(Concats!$AE$49)&amp;"")</f>
        <v>DEMO LATEST:  https://www.linkedin.com/in/jo-ann-balsamo
Username: linkedin@PRODUCT4.com 
PW: DemoData2026</v>
      </c>
      <c r="AO19" s="473" t="str">
        <f>_xlfn.CONCAT(""&amp;(Concats!$AE$51)&amp;"")</f>
        <v>DEMO AP: https://www.linkedin.com/in//linkedin/AM
Username: linkedin@PRODUCT4.com
PW: DemoData2026</v>
      </c>
      <c r="AP19" s="474" t="str">
        <f t="shared" si="1"/>
        <v>Kentucky (KY)</v>
      </c>
      <c r="AQ19" s="475" t="s">
        <v>334</v>
      </c>
      <c r="AR19" s="476" t="s">
        <v>335</v>
      </c>
      <c r="AU19" s="544" t="s">
        <v>336</v>
      </c>
      <c r="AV19" s="544" t="s">
        <v>336</v>
      </c>
      <c r="AW19" s="544" t="s">
        <v>337</v>
      </c>
      <c r="BI19" s="264" t="str">
        <f t="shared" si="3"/>
        <v>q  |  Q</v>
      </c>
      <c r="BJ19" s="507" t="s">
        <v>171</v>
      </c>
      <c r="BK19" s="487" t="str">
        <f t="shared" si="2"/>
        <v>Q</v>
      </c>
    </row>
    <row r="20" spans="1:63" ht="45" customHeight="1" x14ac:dyDescent="0.55000000000000004">
      <c r="A20" s="554" t="s">
        <v>338</v>
      </c>
      <c r="B20" s="456" t="s">
        <v>653</v>
      </c>
      <c r="C20" s="457" t="s">
        <v>260</v>
      </c>
      <c r="D20" s="458" t="s">
        <v>260</v>
      </c>
      <c r="E20" s="459" t="s">
        <v>260</v>
      </c>
      <c r="F20" s="458" t="s">
        <v>260</v>
      </c>
      <c r="G20" s="459" t="s">
        <v>260</v>
      </c>
      <c r="H20" s="460" t="s">
        <v>260</v>
      </c>
      <c r="I20" s="459" t="s">
        <v>260</v>
      </c>
      <c r="J20" s="460" t="s">
        <v>260</v>
      </c>
      <c r="K20" s="459" t="s">
        <v>260</v>
      </c>
      <c r="L20" s="458" t="s">
        <v>260</v>
      </c>
      <c r="M20" s="459" t="s">
        <v>260</v>
      </c>
      <c r="N20" s="461" t="s">
        <v>260</v>
      </c>
      <c r="O20" s="458" t="s">
        <v>260</v>
      </c>
      <c r="P20" s="459" t="s">
        <v>260</v>
      </c>
      <c r="Q20" s="460" t="s">
        <v>260</v>
      </c>
      <c r="R20" s="459" t="s">
        <v>260</v>
      </c>
      <c r="S20" s="460" t="s">
        <v>260</v>
      </c>
      <c r="T20" s="462" t="s">
        <v>260</v>
      </c>
      <c r="U20" s="463" t="s">
        <v>260</v>
      </c>
      <c r="V20" s="458" t="s">
        <v>260</v>
      </c>
      <c r="W20" s="464" t="s">
        <v>260</v>
      </c>
      <c r="X20" s="459" t="s">
        <v>260</v>
      </c>
      <c r="Y20" s="458" t="s">
        <v>260</v>
      </c>
      <c r="Z20" s="459" t="s">
        <v>260</v>
      </c>
      <c r="AA20" s="459" t="s">
        <v>260</v>
      </c>
      <c r="AB20" s="465" t="s">
        <v>261</v>
      </c>
      <c r="AC20" s="466" t="str">
        <f>_xlfn.CONCAT(""&amp;(Concats!$J$2)&amp;"
"&amp;(Concats!$J$3)&amp;"
"&amp;(Concats!$J$4)&amp;"
"&amp;(Concats!$J$5)&amp;"
"&amp;(Concats!$J$6)&amp;"
"&amp;(Concats!$J$11)&amp;"")</f>
        <v>Adding Service Provider Details (#5 in LMS10 Application DemoData727e):
 -=- Service Provider Details -=-
•             SSO (ACS) URL:  https://www.linkedin.com/in/jo-ann-balsamoNONCE-nonce-NONCE2-nonce3-nonce
•             Entity ID (the same as the SSO URL):  https://www.linkedin.com/in/jo-ann-balsamoNONCE-nonce-NONCE2-nonce3-nonce
•             Start URL:  Leave Blank
•             Signed Response:  Checked
•             Name ID:  Basic Information, Primary Type1
•             Name ID Format:  Type1 (typically but uGENINTEGRATIONmately your choice as to this format)
-=- Attribute Mappings (please note that these "App Attributes" are case-sensitive) -=-
•             Primary Type1 -&gt; Type1
•             First Name -&gt; FirstName
•             Last Name -&gt; LastName
•             Department -&gt; custom_ap</v>
      </c>
      <c r="AD20" s="467" t="str">
        <f>_xlfn.CONCAT(UPPER(SUBSTITUTE(Concats!$A$8,"/","")))&amp;"-Adding Services Provider details"&amp;""</f>
        <v>LINKEDIN-Adding Services Provider details</v>
      </c>
      <c r="AE20" s="468" t="s">
        <v>830</v>
      </c>
      <c r="AF20" s="467" t="str">
        <f>Concats!$J$27</f>
        <v>These components are not necessary</v>
      </c>
      <c r="AG20" s="467" t="str">
        <f>_xlfn.CONCAT(""&amp;(Concats!$J$30)&amp;"")</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AH20" s="467" t="str">
        <f>_xlfn.CONCAT(""&amp;(Concats!$J$33)&amp;"
"&amp;(Concats!$J$34)&amp;" "&amp;(Concats!$J$35)&amp;""&amp;(Concats!$J$36)&amp;"")</f>
        <v>DRAFT
Attach: XML + JLB Logo + JLB GENINTEGRATION Integration Workflow
Subject: DEMO / DemoData.com GENINTEGRATION Implementation
TO: w.barnes@demodata.com; t.navarro@demodata.com; n.reed@demodata.com
CC:  leah.adler@FakeDemoData.com; gavin.park@FakeDemoData.com; m.chen@demodata.com
BCC: victoria.lane@FakeDemoData.com
Good Morning,
It was great to meet everybody on the call today!  This Type1 contains the information you will need to connect with DemoData.com through a GENINTEGRATION integration. 
To configure your DemoData.com site, we’ll first need a copy of your X.yxyz certificate or your metadata.  Please send that at your earliest convenience so that we can attach it to your custom DemoData.com site for students to access through the GENINTEGRATION integration. The GENINTEGRATION connection would be an Identify Provider-Initiated SSO, where DEMO is the Identify Provider (IdP) and DemoData.com is the Service Provider (SP). 
Once we’ve obtained your certificate, below is what you’ll need to setup our GENINTEGRATION app.  When you have the chance to set this up and do a test launch, please let me know and I’ll check our transactions to make sure the right data fields are coming across to us.  
MARKET2, please find: 
     •  Icon for DemoData.com app (Note:  Recommend naming the new app DemoDataDotCom)  
     •  GENINTEGRATION Integration Workflow
     •  Service Provider Details (text file attachment)
Please Let me know if you have any questions.
Thank you,</v>
      </c>
      <c r="AI20" s="468" t="s">
        <v>927</v>
      </c>
      <c r="AJ20" s="469" t="s">
        <v>610</v>
      </c>
      <c r="AK20" s="470"/>
      <c r="AL20" s="470"/>
      <c r="AM20" s="471" t="str">
        <f>_xlfn.CONCAT(""&amp;(Concats!$J$46)&amp;"
"&amp;(Concats!$J$47)&amp;"")</f>
        <v>DRAFT
Attach: Program Preferences Sheet
Subject: DEMO / Program Preferences Sheet
TO: w.barnes@demodata.com; t.navarro@demodata.com; n.reed@demodata.com
CC:  leah.adler@FakeDemoData.com; gavin.park@FakeDemoData.com; m.chen@demodata.com
BCC: victoria.lane@FakeDemoData.com
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AN20" s="472" t="str">
        <f>_xlfn.CONCAT(""&amp;(Concats!$J$49)&amp;"")</f>
        <v>DEMO LATEST:  https://www.linkedin.com/in/jo-ann-balsamo
Username: linkedin@PRODUCT4.com 
PW: DemoData2026</v>
      </c>
      <c r="AO20" s="473" t="str">
        <f>_xlfn.CONCAT(""&amp;(Concats!$J$51)&amp;"")</f>
        <v>DEMO AP: https://www.linkedin.com/in//linkedin/AM
Username: linkedin@PRODUCT4.com
PW: DemoData2026</v>
      </c>
      <c r="AP20" s="474" t="str">
        <f t="shared" si="1"/>
        <v>Louisiana (LA)</v>
      </c>
      <c r="AQ20" s="475" t="s">
        <v>339</v>
      </c>
      <c r="AR20" s="476" t="s">
        <v>340</v>
      </c>
      <c r="AU20" s="482" t="s">
        <v>317</v>
      </c>
      <c r="AV20" s="21" t="s">
        <v>707</v>
      </c>
      <c r="AW20" s="555" t="str">
        <f>IF(AND('Program Config'!$C$27&lt;&gt;"",'Program Config'!$I$2&lt;&gt;"",'Program Config'!$C$14&lt;&gt;"",'Program Config'!$F$10&lt;&gt;""),_xlfn.CONCAT("")&amp;IF('Program Config'!$F$10&lt;&gt;"",_xlfn.CONCAT(""&amp;('Program Config'!$F$10)&amp;" ",""))&amp;IF('Program Config'!$C$27&lt;&gt;"",_xlfn.CONCAT("| ID # "&amp;('Program Config'!$C$27),"")&amp;IF(AND('Program Config'!$C$14&lt;&gt;"",'Program Config'!$C$14&lt;&gt;"n/a"),_xlfn.CONCAT(" | "&amp;('Program Config'!$C$14)&amp;" "),"")&amp;IF(AND('Program Config'!$J$14&lt;&gt;"",'Program Config'!$J$14&lt;&gt;"n/a"),_xlfn.CONCAT("| "&amp;('Program Config'!$J$14)&amp;" "),"")&amp;IF('Program Config'!$I$2="New Build",_xlfn.CONCAT("| "&amp;('Program Config'!$I$2)&amp;" ",""),"")&amp;IF('Program Config'!$M$3&lt;&gt;"",_xlfn.CONCAT("| "&amp;('Program Config'!$M$3)&amp;""),""))&amp;IF(AND('Program Config'!$M$2&lt;&gt;"",'Program Config'!$M$3&lt;&gt;""),_xlfn.CONCAT("
Next Follow Up ScMARKET2uled: "&amp;('Program Config'!$M$2)&amp;" | "&amp;('Program Config'!$M$3)&amp;"
Add'l Notes: "&amp;('Program Config'!$M$4)),IF(OR('Program Config'!$M$2&lt;&gt;"",'Program Config'!$M$3&lt;&gt;""),_xlfn.CONCAT("
Next Follow Up Details: "&amp;('Program Config'!$M$2)&amp;""&amp;('Program Config'!$M$3)&amp;""),"")&amp;IF('Program Config'!$M$4&lt;&gt;"",_xlfn.CONCAT("
Add'l Notes: "&amp;('Program Config'!$M$4)),""))&amp;IF('Program Config'!$C$3&lt;&gt;"",_xlfn.CONCAT("
QUICK CLICK RESOURCES:
   • Build Specs Edit Link: "&amp;('Program Config'!$C$3)),"")&amp;IF('Program Config'!$F$34&lt;&gt;"",_xlfn.CONCAT("
   • LMS Required Unique Domain: "&amp;('Program Config'!$F$34)),"")&amp;IF('Program Config'!$I$4&lt;&gt;"",_xlfn.CONCAT("
   • JLB Ticket Link: "&amp;('Program Config'!$I$4)),"")&amp;IF('Program Config'!$C$35&lt;&gt;"",_xlfn.CONCAT("
   • Client's DemoData3 Property Link: "&amp;('Program Config'!$C$35)),"")&amp;IF('Program Config'!$I$2="GENINTEGRATION 31 Migration",_xlfn.CONCAT("
   • IM Team Migration Resources Link: "&amp;"https://www.linkedin.com/in/jo-ann-balsamo"),""),"This component require the Build Spec Type &amp; the Integration Method, the Program Name &amp; ID.")</f>
        <v>This component require the Build Spec Type &amp; the Integration Method, the Program Name &amp; ID.</v>
      </c>
      <c r="BI20" s="264" t="str">
        <f t="shared" si="3"/>
        <v>r  |  R</v>
      </c>
      <c r="BJ20" s="507" t="s">
        <v>185</v>
      </c>
      <c r="BK20" s="487" t="str">
        <f t="shared" si="2"/>
        <v>R</v>
      </c>
    </row>
    <row r="21" spans="1:63" ht="45" customHeight="1" thickBot="1" x14ac:dyDescent="0.6">
      <c r="A21" s="455" t="s">
        <v>341</v>
      </c>
      <c r="B21" s="456" t="s">
        <v>654</v>
      </c>
      <c r="C21" s="457" t="s">
        <v>260</v>
      </c>
      <c r="D21" s="458" t="s">
        <v>260</v>
      </c>
      <c r="E21" s="459" t="s">
        <v>260</v>
      </c>
      <c r="F21" s="458" t="s">
        <v>260</v>
      </c>
      <c r="G21" s="459" t="s">
        <v>260</v>
      </c>
      <c r="H21" s="460" t="s">
        <v>260</v>
      </c>
      <c r="I21" s="459" t="s">
        <v>260</v>
      </c>
      <c r="J21" s="460" t="s">
        <v>260</v>
      </c>
      <c r="K21" s="459" t="s">
        <v>260</v>
      </c>
      <c r="L21" s="458" t="s">
        <v>260</v>
      </c>
      <c r="M21" s="459" t="s">
        <v>260</v>
      </c>
      <c r="N21" s="461" t="s">
        <v>260</v>
      </c>
      <c r="O21" s="458" t="s">
        <v>260</v>
      </c>
      <c r="P21" s="459" t="s">
        <v>260</v>
      </c>
      <c r="Q21" s="460" t="s">
        <v>260</v>
      </c>
      <c r="R21" s="459" t="s">
        <v>260</v>
      </c>
      <c r="S21" s="460" t="s">
        <v>260</v>
      </c>
      <c r="T21" s="462" t="s">
        <v>260</v>
      </c>
      <c r="U21" s="463" t="s">
        <v>260</v>
      </c>
      <c r="V21" s="458" t="s">
        <v>260</v>
      </c>
      <c r="W21" s="464" t="s">
        <v>260</v>
      </c>
      <c r="X21" s="459" t="s">
        <v>260</v>
      </c>
      <c r="Y21" s="458" t="s">
        <v>260</v>
      </c>
      <c r="Z21" s="459" t="s">
        <v>260</v>
      </c>
      <c r="AA21" s="459" t="s">
        <v>260</v>
      </c>
      <c r="AB21" s="466" t="str">
        <f>_xlfn.CONCAT(""&amp;(Concats!$M$2)&amp;"")</f>
        <v>This component is not necessary</v>
      </c>
      <c r="AC21" s="466" t="str">
        <f>_xlfn.CONCAT(""&amp;(Concats!$M$2)&amp;"")</f>
        <v>This component is not necessary</v>
      </c>
      <c r="AD21" s="466" t="str">
        <f>_xlfn.CONCAT(""&amp;(Concats!$M$2)&amp;"")</f>
        <v>This component is not necessary</v>
      </c>
      <c r="AE21" s="468" t="s">
        <v>342</v>
      </c>
      <c r="AF21" s="467" t="str">
        <f>Concats!$I$27</f>
        <v>These components are not necessary</v>
      </c>
      <c r="AG21" s="467" t="str">
        <f>_xlfn.CONCAT(""&amp;(Concats!$M$30)&amp;"")</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AH21" s="467" t="str">
        <f>_xlfn.CONCAT(""&amp;(Concats!M$33)&amp;" 
"&amp;(HYPERLINK(_xlfn.CONCAT(Concats!$N$34),(Concats!$M$34)))&amp;" "&amp;(Concats!M$35)&amp;" "&amp;(Concats!M$36)&amp;" "&amp;(HYPERLINK(_xlfn.CONCAT(Concats!$N$37),(Concats!$M$37)))&amp;".
"&amp;(Concats!M$38)&amp;" "&amp;(Concats!M$39)&amp;" "&amp;(Concats!M$40)&amp;"")</f>
        <v>DRAFT
Attach:  Creating &amp; Loading Bulk DemoData + Bulk Upload file with Example
Subject: DEMO / DemoData.com LMS11 Integration
TO: w.barnes@demodata.com; t.navarro@demodata.com; n.reed@demodata.com
CC:  leah.adler@FakeDemoData.com; gavin.park@FakeDemoData.com; m.chen@demodata.com
BCC: victoria.lane@FakeDemoData.com
Good Morning, 
It was great to meet you all! 
Your DemoData.com program has been configured and is ready to have students / users loaded; the list below outlines the information we will need for each student / user who will be granted access to your DemoData.com program.  
The PUBLIC DemoData2h for your program is www.DemoData.com/linkedin/ and the student facing link is DemoData.com - LS LI.
Profile Fields - to be completed on MARKET2 template spreadsheet:
a.	Username for each student; should be something unique that they can easily remember. This is what they will use to LI.  Ex: student Type1 address or Student ID Number.
b.	PW for each user; should be something easy to remember. Please Note: The bulk uploader can only be used to set the initial PW for a user; PW changes cannot be made with the bulk uploader. 
c.	School or Location Name(s) / ID(s); this will become your program access points for reporting.
d.	First Name of Student / User.
e.	Last name of Student / User. 
f.	Type1 address; can be the same as username.  
For reference, I have also included a sample of the field data below.  
****Include Screenshot of LM template HERE***
Once I receive the spreadsheet back from you, I will start the initial upload for your program. Afterwards, you will have the opportunity to work with your CSM to learn how to add, deactivate, and reactivate accounts using the bulk uploader. Please Note: The bulk uploader can only be used to set the initial PW for a user; PW changes cannot be made with the bulk uploader. 
Next steps: 
•	I’ve included a logo; please review the screenshot below. If you would like to update the logo, please share a 310x90 image of your logo and I will update the program. 
•	You may customize both a welcome message and an info message for your students / users; helpful information includes whom to contact if they have account issues or questions. Please note: We are unable to post PWs, or PW hints / formats in the welcome or info messages since they are both on public-facing sites.
***Include Screenshot of client LI w/logo space identified HERE***
Please let me know if you have any questions along the way.
Thank you,</v>
      </c>
      <c r="AI21" s="468" t="s">
        <v>949</v>
      </c>
      <c r="AJ21" s="469" t="s">
        <v>610</v>
      </c>
      <c r="AK21" s="470"/>
      <c r="AL21" s="470"/>
      <c r="AM21" s="471" t="str">
        <f>_xlfn.CONCAT(""&amp;(Concats!$M$46)&amp;"
"&amp;(Concats!$M$47)&amp;"")</f>
        <v>DRAFT
Attach: Program Preferences Sheet
Subject: DEMO / Program Preferences Sheet
TO: w.barnes@demodata.com; t.navarro@demodata.com; n.reed@demodata.com
CC:  leah.adler@FakeDemoData.com; gavin.park@FakeDemoData.com; m.chen@demodata.com
BCC: victoria.lane@FakeDemoData.com
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AN21" s="472" t="str">
        <f>_xlfn.CONCAT(""&amp;(Concats!$M$49)&amp;"")</f>
        <v>DEMO LATEST:  https://www.linkedin.com/in/jo-ann-balsamo
Username: linkedin@PRODUCT4.com 
PW: DemoData2026</v>
      </c>
      <c r="AO21" s="473" t="str">
        <f>_xlfn.CONCAT(""&amp;(Concats!$M$51)&amp;"")</f>
        <v>DEMO AP: https://www.linkedin.com/in//linkedin/AM
Username: linkedin@PRODUCT4.com
PW: DemoData2026</v>
      </c>
      <c r="AP21" s="474" t="str">
        <f>_xlfn.CONCAT(""&amp;(AQ21)&amp;" ("&amp;AR21&amp;")")</f>
        <v>Maine (ME)</v>
      </c>
      <c r="AQ21" s="475" t="s">
        <v>343</v>
      </c>
      <c r="AR21" s="476" t="s">
        <v>344</v>
      </c>
      <c r="AU21" s="519" t="s">
        <v>859</v>
      </c>
      <c r="AV21" s="21" t="s">
        <v>862</v>
      </c>
      <c r="AW21" s="555" t="str">
        <f>IF(AND('Program Config'!$C$27&lt;&gt;"",'Program Config'!$I$2&lt;&gt;"",'Program Config'!$C$14&lt;&gt;"",'Program Config'!$F$10&lt;&gt;""),_xlfn.CONCAT("")&amp;IF('Program Config'!$F$10&lt;&gt;"",_xlfn.CONCAT(""&amp;('Program Config'!$F$10)&amp;" ",""))&amp;IF('Program Config'!$C$27&lt;&gt;"",_xlfn.CONCAT("| ID # "&amp;('Program Config'!$C$27),"")&amp;IF(AND('Program Config'!$C$14&lt;&gt;"",'Program Config'!$C$14&lt;&gt;"n/a"),_xlfn.CONCAT(" | "&amp;('Program Config'!$C$14)&amp;""),"")&amp;IF(AND('Program Config'!$C$14&lt;&gt;"",'Program Config'!$C$14&lt;&gt;"n/a",'Program Config'!$I$2="GENINTEGRATION 31 Migration"),_xlfn.CONCAT(" Migration"),"")&amp;IF(AND('Program Config'!$C$14="n/a",'Program Config'!$I$2="GENINTEGRATION 31 Migration"),_xlfn.CONCAT(" | "&amp;('Program Config'!$I$2)&amp;" "),"")&amp;IF(AND('Program Config'!$J$14&lt;&gt;"",'Program Config'!$J$14&lt;&gt;"N/A"),_xlfn.CONCAT(" | "&amp;('Program Config'!$J$14)&amp;" "),"")&amp;IF('Program Config'!$M$3&lt;&gt;"",_xlfn.CONCAT("| "&amp;('Program Config'!$M$3)&amp;""),""))&amp;IF(AND('Program Config'!$M$2&lt;&gt;"",'Program Config'!$M$3&lt;&gt;""),_xlfn.CONCAT("
Next Follow Up ScMARKET2uled: "&amp;('Program Config'!$M$2)&amp;" | "&amp;('Program Config'!$M$3)&amp;"
Add'l Notes: "&amp;('Program Config'!$M$4)),IF(OR('Program Config'!$M$2&lt;&gt;"",'Program Config'!$M$3&lt;&gt;""),_xlfn.CONCAT("
Next Follow Up Details: "&amp;('Program Config'!$M$2)&amp;""&amp;('Program Config'!$M$3)&amp;""),"")&amp;IF('Program Config'!$M$4&lt;&gt;"",_xlfn.CONCAT("
Add'l Notes: "&amp;('Program Config'!$M$4)),""))&amp;IF('Program Config'!$C$3&lt;&gt;"",_xlfn.CONCAT("
QUICK CLICK RESOURCES:
   • Build Specs Edit Link: "&amp;('Program Config'!$C$3)),"")&amp;IF('Program Config'!$F$34&lt;&gt;"",_xlfn.CONCAT("
   • LMS Required Unique Domain: "&amp;('Program Config'!$F$34)),"")&amp;IF('Program Config'!$I$4&lt;&gt;"",_xlfn.CONCAT("
   • JLB Ticket Link: "&amp;('Program Config'!$I$4)),"")&amp;IF('Program Config'!$C$35&lt;&gt;"",_xlfn.CONCAT("
   • Client's DemoData3 Property Link: "&amp;('Program Config'!$C$35)),"")&amp;IF('Program Config'!$I$2="GENINTEGRATION 31 Migration",_xlfn.CONCAT("
   • IM Team Migration Resources Link: "&amp;"https://www.linkedin.com/in/jo-ann-balsamo"),""),"This component require the Build Spec Type &amp; the Integration Method, the Program Name &amp; ID.")</f>
        <v>This component require the Build Spec Type &amp; the Integration Method, the Program Name &amp; ID.</v>
      </c>
      <c r="BI21" s="264" t="str">
        <f t="shared" si="3"/>
        <v>s  |  S</v>
      </c>
      <c r="BJ21" s="507" t="s">
        <v>187</v>
      </c>
      <c r="BK21" s="487" t="str">
        <f t="shared" si="2"/>
        <v>S</v>
      </c>
    </row>
    <row r="22" spans="1:63" ht="45" customHeight="1" thickBot="1" x14ac:dyDescent="0.6">
      <c r="A22" s="556"/>
      <c r="B22" s="557" t="s">
        <v>266</v>
      </c>
      <c r="C22" s="557"/>
      <c r="D22" s="558"/>
      <c r="E22" s="559"/>
      <c r="F22" s="558"/>
      <c r="G22" s="559"/>
      <c r="H22" s="560"/>
      <c r="I22" s="559"/>
      <c r="J22" s="560"/>
      <c r="K22" s="559"/>
      <c r="L22" s="558"/>
      <c r="M22" s="559"/>
      <c r="N22" s="561"/>
      <c r="O22" s="562"/>
      <c r="P22" s="563"/>
      <c r="Q22" s="564"/>
      <c r="R22" s="559"/>
      <c r="S22" s="564"/>
      <c r="T22" s="565"/>
      <c r="U22" s="566"/>
      <c r="V22" s="562"/>
      <c r="W22" s="567"/>
      <c r="X22" s="559"/>
      <c r="Y22" s="562"/>
      <c r="Z22" s="559"/>
      <c r="AA22" s="559"/>
      <c r="AB22" s="568"/>
      <c r="AC22" s="569" t="s">
        <v>345</v>
      </c>
      <c r="AD22" s="570" t="s">
        <v>345</v>
      </c>
      <c r="AE22" s="570" t="s">
        <v>345</v>
      </c>
      <c r="AF22" s="570" t="s">
        <v>345</v>
      </c>
      <c r="AG22" s="570" t="s">
        <v>345</v>
      </c>
      <c r="AH22" s="570" t="s">
        <v>345</v>
      </c>
      <c r="AI22" s="570"/>
      <c r="AJ22" s="570"/>
      <c r="AK22" s="571"/>
      <c r="AL22" s="571"/>
      <c r="AM22" s="572" t="s">
        <v>345</v>
      </c>
      <c r="AN22" s="569" t="s">
        <v>345</v>
      </c>
      <c r="AO22" s="571" t="s">
        <v>345</v>
      </c>
      <c r="AP22" s="474" t="str">
        <f>_xlfn.CONCAT(""&amp;(AQ22)&amp;" ("&amp;AR22&amp;")")</f>
        <v>Maryland (MD)</v>
      </c>
      <c r="AQ22" s="475" t="s">
        <v>346</v>
      </c>
      <c r="AR22" s="476" t="s">
        <v>80</v>
      </c>
      <c r="AU22" s="519" t="s">
        <v>329</v>
      </c>
      <c r="AV22" s="21" t="s">
        <v>708</v>
      </c>
      <c r="AW22" s="555" t="str">
        <f>IF(AND('Program Config'!$C$27&lt;&gt;"",'Program Config'!$I$2&lt;&gt;"",'Program Config'!$C$14&lt;&gt;"",'Program Config'!$F$10&lt;&gt;""),_xlfn.CONCAT("")&amp;IF('Program Config'!$F$10&lt;&gt;"",_xlfn.CONCAT(""&amp;('Program Config'!$F$10)&amp;" ",""))&amp;IF('Program Config'!$C$27&lt;&gt;"",_xlfn.CONCAT("| ID # "&amp;('Program Config'!$C$27),"")&amp;IF(AND('Program Config'!$C$14&lt;&gt;"",'Program Config'!$C$14&lt;&gt;"n/a"),_xlfn.CONCAT(" | "&amp;('Program Config'!$C$14)&amp;" "),"")&amp;IF(AND('Program Config'!$J$14&lt;&gt;"",'Program Config'!$J$14&lt;&gt;"n/a"),_xlfn.CONCAT("| "&amp;('Program Config'!$J$14))&amp;" ","| Rostering ")&amp;IF('Program Config'!$M$3&lt;&gt;"",_xlfn.CONCAT("| "&amp;('Program Config'!$M$3)&amp;""),""))&amp;IF(AND('Program Config'!$M$2&lt;&gt;"",'Program Config'!$M$3&lt;&gt;""),_xlfn.CONCAT("
Next Follow Up ScMARKET2uled: "&amp;('Program Config'!$M$2)&amp;" | "&amp;('Program Config'!$M$3)&amp;"
Add'l Notes: "&amp;('Program Config'!$M$4)),IF(OR('Program Config'!$M$2&lt;&gt;"",'Program Config'!$M$3&lt;&gt;""),_xlfn.CONCAT("
Next Follow Up Details: "&amp;('Program Config'!$M$2)&amp;""&amp;('Program Config'!$M$3)&amp;""),"")&amp;IF('Program Config'!$M$4&lt;&gt;"",_xlfn.CONCAT("
Add'l Notes: "&amp;('Program Config'!$M$4)),""))&amp;IF('Program Config'!$C$3&lt;&gt;"",_xlfn.CONCAT("
QUICK CLICK RESOURCES:
   • Build Specs Edit Link: "&amp;('Program Config'!$C$3)),"")&amp;IF('Program Config'!$F$34&lt;&gt;"",_xlfn.CONCAT("
   • LMS Required Unique Domain: "&amp;('Program Config'!$F$34)),"")&amp;IF('Program Config'!$I$4&lt;&gt;"",_xlfn.CONCAT("
   • JLB Ticket Link: "&amp;('Program Config'!$I$4)),"")&amp;IF('Program Config'!$C$35&lt;&gt;"",_xlfn.CONCAT("
   • Client's DemoData3 Property Link: "&amp;('Program Config'!$C$35)),"")&amp;IF('Program Config'!$I$2="GENINTEGRATION 31 Migration",_xlfn.CONCAT("
   • IM Team Migration Resources Link: "&amp;"https://www.linkedin.com/in/jo-ann-balsamo"),""),"This component require the Build Spec Type &amp; the Integration Method, the Program Name &amp; ID.")</f>
        <v>This component require the Build Spec Type &amp; the Integration Method, the Program Name &amp; ID.</v>
      </c>
      <c r="BI22" s="264" t="str">
        <f t="shared" si="3"/>
        <v>t  |  T</v>
      </c>
      <c r="BJ22" s="507" t="s">
        <v>184</v>
      </c>
      <c r="BK22" s="487" t="str">
        <f t="shared" si="2"/>
        <v>T</v>
      </c>
    </row>
    <row r="23" spans="1:63" ht="45" customHeight="1" thickBot="1" x14ac:dyDescent="0.6">
      <c r="A23" s="573"/>
      <c r="B23" s="475"/>
      <c r="C23" s="475"/>
      <c r="D23" s="574"/>
      <c r="E23" s="574"/>
      <c r="F23" s="574"/>
      <c r="G23" s="574"/>
      <c r="H23" s="574"/>
      <c r="I23" s="574"/>
      <c r="J23" s="574"/>
      <c r="K23" s="574"/>
      <c r="L23" s="574"/>
      <c r="M23" s="574"/>
      <c r="N23" s="475"/>
      <c r="O23" s="475"/>
      <c r="P23" s="475"/>
      <c r="Q23" s="475"/>
      <c r="R23" s="574"/>
      <c r="S23" s="475"/>
      <c r="T23" s="574"/>
      <c r="U23" s="574"/>
      <c r="V23" s="475"/>
      <c r="W23" s="574"/>
      <c r="X23" s="574"/>
      <c r="Y23" s="475"/>
      <c r="Z23" s="574"/>
      <c r="AA23" s="574"/>
      <c r="AB23" s="574"/>
      <c r="AC23" s="528"/>
      <c r="AD23" s="575"/>
      <c r="AE23" s="576"/>
      <c r="AF23" s="575"/>
      <c r="AG23" s="575"/>
      <c r="AH23" s="575"/>
      <c r="AI23" s="575"/>
      <c r="AJ23" s="575"/>
      <c r="AK23" s="575"/>
      <c r="AL23" s="575"/>
      <c r="AM23" s="575"/>
      <c r="AN23" s="575"/>
      <c r="AO23" s="577"/>
      <c r="AP23" s="474" t="str">
        <f t="shared" si="1"/>
        <v>Massachusetts (MA)</v>
      </c>
      <c r="AQ23" s="475" t="s">
        <v>347</v>
      </c>
      <c r="AR23" s="476" t="s">
        <v>348</v>
      </c>
      <c r="AU23" s="519" t="s">
        <v>322</v>
      </c>
      <c r="AV23" s="21" t="s">
        <v>709</v>
      </c>
      <c r="AW23" s="578" t="str">
        <f>IF(AND('Program Config'!$C$27&lt;&gt;"",'Program Config'!$I$2&lt;&gt;"",'Program Config'!$C$14&lt;&gt;"",'Program Config'!$F$10&lt;&gt;""),_xlfn.CONCAT("")&amp;IF('Program Config'!$F$10&lt;&gt;"",_xlfn.CONCAT(""&amp;('Program Config'!$F$10)&amp;" ",""))&amp;IF('Program Config'!$C$27&lt;&gt;"",_xlfn.CONCAT("| ID # "&amp;('Program Config'!$C$27)," ")&amp;IF(AND('Program Config'!$C$14&lt;&gt;"",'Program Config'!$C$14&lt;&gt;"n/a"),_xlfn.CONCAT("| "&amp;('Program Config'!$C$14))&amp;" ","")&amp;IF(AND('Program Config'!$J$14&lt;&gt;"",'Program Config'!$J$14&lt;&gt;"n/a"),_xlfn.CONCAT("| "&amp;('Program Config'!$J$14)&amp;" "),"")&amp;_xlfn.CONCAT(" | JLB Ticket ")&amp;IF('Program Config'!$M$3&lt;&gt;"",_xlfn.CONCAT("| "&amp;('Program Config'!$M$3)&amp;""),""))&amp;IF(AND('Program Config'!$M$2&lt;&gt;"",'Program Config'!$M$3&lt;&gt;""),_xlfn.CONCAT("
Next Follow Up ScMARKET2uled: "&amp;('Program Config'!$M$2)&amp;" | "&amp;('Program Config'!$M$3)&amp;"
Add'l Notes: "&amp;('Program Config'!$M$4)),IF(OR('Program Config'!$M$2&lt;&gt;"",'Program Config'!$M$3&lt;&gt;""),_xlfn.CONCAT("
Next Follow Up Details: "&amp;('Program Config'!$M$2)&amp;""&amp;('Program Config'!$M$3)&amp;""),"")&amp;IF('Program Config'!$M$4&lt;&gt;"",_xlfn.CONCAT("
Add'l Notes: "&amp;('Program Config'!$M$4)),""))&amp;IF('Program Config'!$C$3&lt;&gt;"",_xlfn.CONCAT("
QUICK CLICK RESOURCES:
   • Build Specs Edit Link: "&amp;('Program Config'!$C$3)),"")&amp;IF('Program Config'!$F$34&lt;&gt;"",_xlfn.CONCAT("
   • LMS Required Unique Domain: "&amp;('Program Config'!$F$34)),"")&amp;IF('Program Config'!$I$4&lt;&gt;"",_xlfn.CONCAT("
   • JLB Ticket Link: "&amp;('Program Config'!$I$4)),"")&amp;IF('Program Config'!$C$35&lt;&gt;"",_xlfn.CONCAT("
   • Client's DemoData3 Property Link: "&amp;('Program Config'!$C$35)),"")&amp;IF('Program Config'!$I$2="GENINTEGRATION 31 Migration",_xlfn.CONCAT("
   • IM Team Migration Resources Link: "&amp;"https://www.linkedin.com/in/jo-ann-balsamo"),""),"This component require the Build Spec Type &amp; the Integration Method, the Program Name &amp; ID.")</f>
        <v>This component require the Build Spec Type &amp; the Integration Method, the Program Name &amp; ID.</v>
      </c>
      <c r="BI23" s="264" t="str">
        <f t="shared" si="3"/>
        <v>u  |  U</v>
      </c>
      <c r="BJ23" s="507" t="s">
        <v>189</v>
      </c>
      <c r="BK23" s="487" t="str">
        <f t="shared" si="2"/>
        <v>U</v>
      </c>
    </row>
    <row r="24" spans="1:63" ht="45" customHeight="1" thickBot="1" x14ac:dyDescent="0.6">
      <c r="A24" s="573"/>
      <c r="B24" s="475"/>
      <c r="C24" s="475"/>
      <c r="D24" s="574"/>
      <c r="E24" s="574"/>
      <c r="F24" s="574"/>
      <c r="G24" s="574"/>
      <c r="H24" s="574"/>
      <c r="I24" s="574"/>
      <c r="J24" s="574"/>
      <c r="K24" s="574"/>
      <c r="L24" s="574"/>
      <c r="M24" s="574"/>
      <c r="N24" s="475"/>
      <c r="O24" s="475"/>
      <c r="P24" s="475"/>
      <c r="Q24" s="475"/>
      <c r="R24" s="574"/>
      <c r="S24" s="475"/>
      <c r="T24" s="574"/>
      <c r="U24" s="574"/>
      <c r="V24" s="475"/>
      <c r="W24" s="574"/>
      <c r="X24" s="574"/>
      <c r="Y24" s="475"/>
      <c r="Z24" s="574"/>
      <c r="AA24" s="574"/>
      <c r="AB24" s="574"/>
      <c r="AC24" s="575"/>
      <c r="AD24" s="575"/>
      <c r="AE24" s="576"/>
      <c r="AF24" s="575"/>
      <c r="AG24" s="575"/>
      <c r="AH24" s="575"/>
      <c r="AI24" s="579"/>
      <c r="AJ24" s="580"/>
      <c r="AK24" s="580"/>
      <c r="AL24" s="580"/>
      <c r="AM24" s="575"/>
      <c r="AN24" s="575"/>
      <c r="AO24" s="577"/>
      <c r="AP24" s="474" t="str">
        <f t="shared" si="1"/>
        <v>Michigan (MI)</v>
      </c>
      <c r="AQ24" s="475" t="s">
        <v>349</v>
      </c>
      <c r="AR24" s="476" t="s">
        <v>350</v>
      </c>
      <c r="AU24" s="519" t="s">
        <v>322</v>
      </c>
      <c r="AV24" s="21" t="s">
        <v>710</v>
      </c>
      <c r="AW24" s="578" t="str">
        <f>IF(AND('Program Config'!$C$27&lt;&gt;"",'Program Config'!$I$4&lt;&gt;"",'Program Config'!$C$14&lt;&gt;"",'Program Config'!$F$10&lt;&gt;""),_xlfn.CONCAT("")&amp;IF('Program Config'!$F$10&lt;&gt;"",_xlfn.CONCAT(""&amp;('Program Config'!$F$10)&amp;" "),"")&amp;IF('Program Config'!$C$27&lt;&gt;"",_xlfn.CONCAT("| ID # "&amp;('Program Config'!$C$27)&amp;" "),"")&amp;IF(AND('Program Config'!$C$14&lt;&gt;"",'Program Config'!$C$14&lt;&gt;"n/a"),_xlfn.CONCAT("| "&amp;('Program Config'!$C$14)&amp;" "),"")&amp;IF(AND('Program Config'!$C$14&lt;&gt;"",'Program Config'!$C$14&lt;&gt;"n/a",'Program Config'!$I$2="GENINTEGRATION 31 Migration"),_xlfn.CONCAT("Migration"),"")&amp;IF(AND('Program Config'!$C$14="n/a",'Program Config'!$I$2="GENINTEGRATION 31 Migration"),_xlfn.CONCAT("| "&amp;('Program Config'!$I$2)&amp;" "),"")&amp;IF(AND('Program Config'!$J$14&lt;&gt;"",'Program Config'!$J$14&lt;&gt;"n/a"),_xlfn.CONCAT("| "&amp;('Program Config'!$J$14)&amp;" "),"")&amp;IF('Program Config'!$I$2="New Build",_xlfn.CONCAT("| "&amp;('Program Config'!$I$2)&amp;" "),"")&amp;IF(AND('Program Config'!$J$14="",'Program Config'!$I$2="Rostering"),_xlfn.CONCAT("| Rostering "),"")&amp;IF(AND('Program Config'!$J$14="n/a",'Program Config'!$I$2="Rostering"),_xlfn.CONCAT("| Rostering "),"")&amp;IF(AND('Program Config'!$M$2&lt;&gt;"",'Program Config'!$M$3&lt;&gt;""),_xlfn.CONCAT("
Next Follow Up ScMARKET2uled: "&amp;('Program Config'!$M$2)&amp;" | "&amp;('Program Config'!$M$3)&amp;"
Add'l Notes: "&amp;('Program Config'!$M$4),""),IF(OR('Program Config'!$M$2&lt;&gt;"",'Program Config'!$M$3&lt;&gt;""),_xlfn.CONCAT("
Next Follow Up Details: "&amp;('Program Config'!$M$2)&amp;""&amp;('Program Config'!$M$3)&amp;""),"")&amp;IF('Program Config'!$M$4&lt;&gt;"",_xlfn.CONCAT("
Add'l Notes: "&amp;('Program Config'!$M$4)),""))&amp;IF('Program Config'!$C$3&lt;&gt;"",_xlfn.CONCAT("
QUICK CLICK RESOURCES
• Build Specs View Only Link: "&amp;('Program Config'!$I$3)),"")&amp;IF('Program Config'!$C$35&lt;&gt;"",_xlfn.CONCAT("
• Client's DemoData3 Property Link: "&amp;('Program Config'!$C$35),"")),"This component require the Build Spec Type &amp; the Integration Method, the Program Name &amp; ID.")</f>
        <v>This component require the Build Spec Type &amp; the Integration Method, the Program Name &amp; ID.</v>
      </c>
      <c r="BI24" s="264" t="str">
        <f t="shared" si="3"/>
        <v>v  |  V</v>
      </c>
      <c r="BJ24" s="507" t="s">
        <v>190</v>
      </c>
      <c r="BK24" s="487" t="str">
        <f t="shared" si="2"/>
        <v>V</v>
      </c>
    </row>
    <row r="25" spans="1:63" ht="45" customHeight="1" x14ac:dyDescent="0.55000000000000004">
      <c r="A25" s="573"/>
      <c r="B25" s="475"/>
      <c r="C25" s="475"/>
      <c r="D25" s="574"/>
      <c r="E25" s="574"/>
      <c r="F25" s="574"/>
      <c r="G25" s="574"/>
      <c r="H25" s="574"/>
      <c r="I25" s="574"/>
      <c r="J25" s="574"/>
      <c r="K25" s="574"/>
      <c r="L25" s="574"/>
      <c r="M25" s="574"/>
      <c r="N25" s="475"/>
      <c r="O25" s="475"/>
      <c r="P25" s="475"/>
      <c r="Q25" s="475"/>
      <c r="R25" s="574"/>
      <c r="S25" s="475"/>
      <c r="T25" s="574"/>
      <c r="U25" s="574"/>
      <c r="V25" s="475"/>
      <c r="W25" s="574"/>
      <c r="X25" s="574"/>
      <c r="Y25" s="475"/>
      <c r="Z25" s="574"/>
      <c r="AA25" s="574"/>
      <c r="AB25" s="574"/>
      <c r="AC25" s="528"/>
      <c r="AD25" s="575"/>
      <c r="AE25" s="576"/>
      <c r="AF25" s="575"/>
      <c r="AG25" s="575"/>
      <c r="AH25" s="575"/>
      <c r="AI25" s="575"/>
      <c r="AJ25" s="575"/>
      <c r="AK25" s="575"/>
      <c r="AL25" s="575"/>
      <c r="AM25" s="575"/>
      <c r="AN25" s="575"/>
      <c r="AO25" s="577"/>
      <c r="AP25" s="474" t="str">
        <f t="shared" si="1"/>
        <v>Minnesota (MN)</v>
      </c>
      <c r="AQ25" s="475" t="s">
        <v>351</v>
      </c>
      <c r="AR25" s="476" t="s">
        <v>12</v>
      </c>
      <c r="AT25" s="424" t="s">
        <v>950</v>
      </c>
      <c r="AU25" s="424"/>
      <c r="AV25" s="424"/>
      <c r="AW25" s="581"/>
      <c r="BI25" s="264" t="str">
        <f t="shared" si="3"/>
        <v>w  |  W</v>
      </c>
      <c r="BJ25" s="507" t="s">
        <v>191</v>
      </c>
      <c r="BK25" s="487" t="str">
        <f t="shared" si="2"/>
        <v>W</v>
      </c>
    </row>
    <row r="26" spans="1:63" ht="45" customHeight="1" x14ac:dyDescent="0.55000000000000004">
      <c r="A26" s="573"/>
      <c r="B26" s="475"/>
      <c r="C26" s="475"/>
      <c r="D26" s="574"/>
      <c r="E26" s="574"/>
      <c r="F26" s="574"/>
      <c r="G26" s="574"/>
      <c r="H26" s="574"/>
      <c r="I26" s="574"/>
      <c r="J26" s="574"/>
      <c r="K26" s="574"/>
      <c r="L26" s="574"/>
      <c r="M26" s="574"/>
      <c r="N26" s="475"/>
      <c r="O26" s="475"/>
      <c r="P26" s="475"/>
      <c r="Q26" s="475"/>
      <c r="R26" s="574"/>
      <c r="S26" s="475"/>
      <c r="T26" s="574"/>
      <c r="U26" s="574"/>
      <c r="V26" s="475"/>
      <c r="W26" s="574"/>
      <c r="X26" s="574"/>
      <c r="Y26" s="475"/>
      <c r="Z26" s="574"/>
      <c r="AA26" s="574"/>
      <c r="AB26" s="574"/>
      <c r="AC26" s="575"/>
      <c r="AD26" s="575"/>
      <c r="AE26" s="576"/>
      <c r="AF26" s="575"/>
      <c r="AG26" s="575"/>
      <c r="AH26" s="575"/>
      <c r="AI26" s="575"/>
      <c r="AJ26" s="575"/>
      <c r="AK26" s="575"/>
      <c r="AL26" s="575"/>
      <c r="AM26" s="575"/>
      <c r="AN26" s="575"/>
      <c r="AO26" s="577"/>
      <c r="AP26" s="474" t="str">
        <f t="shared" si="1"/>
        <v>Mississippi (MS)</v>
      </c>
      <c r="AQ26" s="475" t="s">
        <v>352</v>
      </c>
      <c r="AR26" s="476" t="s">
        <v>353</v>
      </c>
      <c r="AT26" s="582" t="s">
        <v>662</v>
      </c>
      <c r="AU26" s="582" t="s">
        <v>663</v>
      </c>
      <c r="AV26" s="582" t="s">
        <v>354</v>
      </c>
      <c r="AW26" s="582" t="s">
        <v>355</v>
      </c>
      <c r="AX26" s="582" t="s">
        <v>356</v>
      </c>
      <c r="BI26" s="264" t="str">
        <f t="shared" si="3"/>
        <v>x  |  X</v>
      </c>
      <c r="BJ26" s="507" t="s">
        <v>192</v>
      </c>
      <c r="BK26" s="487" t="str">
        <f t="shared" si="2"/>
        <v>X</v>
      </c>
    </row>
    <row r="27" spans="1:63" ht="45" customHeight="1" x14ac:dyDescent="0.55000000000000004">
      <c r="A27" s="573"/>
      <c r="B27" s="475"/>
      <c r="C27" s="475"/>
      <c r="D27" s="574"/>
      <c r="E27" s="574"/>
      <c r="F27" s="574"/>
      <c r="G27" s="574"/>
      <c r="H27" s="574"/>
      <c r="I27" s="574"/>
      <c r="J27" s="574"/>
      <c r="K27" s="574"/>
      <c r="L27" s="574"/>
      <c r="M27" s="574"/>
      <c r="N27" s="475"/>
      <c r="O27" s="475"/>
      <c r="P27" s="475"/>
      <c r="Q27" s="475"/>
      <c r="R27" s="574"/>
      <c r="S27" s="475"/>
      <c r="T27" s="574"/>
      <c r="U27" s="574"/>
      <c r="V27" s="475"/>
      <c r="W27" s="574"/>
      <c r="X27" s="574"/>
      <c r="Y27" s="475"/>
      <c r="Z27" s="574"/>
      <c r="AA27" s="574"/>
      <c r="AB27" s="574"/>
      <c r="AC27" s="575"/>
      <c r="AD27" s="575"/>
      <c r="AE27" s="576"/>
      <c r="AF27" s="575"/>
      <c r="AG27" s="575"/>
      <c r="AH27" s="575"/>
      <c r="AI27" s="575"/>
      <c r="AJ27" s="575"/>
      <c r="AK27" s="575"/>
      <c r="AL27" s="575"/>
      <c r="AM27" s="575"/>
      <c r="AN27" s="575"/>
      <c r="AO27" s="577"/>
      <c r="AP27" s="474" t="str">
        <f t="shared" si="1"/>
        <v>Missouri (MO)</v>
      </c>
      <c r="AQ27" s="475" t="s">
        <v>357</v>
      </c>
      <c r="AR27" s="476" t="s">
        <v>358</v>
      </c>
      <c r="AT27" s="583" t="str">
        <f>_xlfn.XLOOKUP(AU27,'Program Contacts &amp; Kickoff'!$P$2:$P$63,'Program Contacts &amp; Kickoff'!$O$2:$O$63,AU27,FALSE)</f>
        <v/>
      </c>
      <c r="AU27" s="583" t="str">
        <f>IF('Program Contacts &amp; Kickoff'!E6&lt;&gt;"",IF(OR(RIGHT('Program Contacts &amp; Kickoff'!E6,10)="@DemoData.com",RIGHT('Program Contacts &amp; Kickoff'!E6,11)="@demodata.com",'Program Contacts &amp; Kickoff'!C6="JLB (Not On List)"),'Program Contacts &amp; Kickoff'!E6,""),"")</f>
        <v/>
      </c>
      <c r="AV27" s="584" t="str">
        <f>IF(OR('Program Contacts &amp; Kickoff'!C6="Primary Contact",'Program Contacts &amp; Kickoff'!C6="Technical Contact",'Program Contacts &amp; Kickoff'!H6=TRUE),IF(AND(RIGHT('Program Contacts &amp; Kickoff'!E6,10)&lt;&gt;"@DemoData.com",RIGHT('Program Contacts &amp; Kickoff'!E6,11)&lt;&gt;"@demodata.com"),'Program Contacts &amp; Kickoff'!E6,""),IF(AND(RIGHT('Program Contacts &amp; Kickoff'!E6,10)&lt;&gt;"@DemoData.com",RIGHT('Program Contacts &amp; Kickoff'!E6,11)&lt;&gt;"@demodata.com",'Program Contacts &amp; Kickoff'!C6=""),'Program Contacts &amp; Kickoff'!E6,""))</f>
        <v>w.barnes@demodata.com</v>
      </c>
      <c r="AW27" s="584" t="str">
        <f>IF(OR('Program Contacts &amp; Kickoff'!C6="Primary Contact", 'Program Contacts &amp; Kickoff'!C6="Program Contact",'Program Contacts &amp; Kickoff'!H6=TRUE),IF(AND(RIGHT('Program Contacts &amp; Kickoff'!E6,10)&lt;&gt;"@DemoData.com",RIGHT('Program Contacts &amp; Kickoff'!E6,11)&lt;&gt;"@demodata.com"),'Program Contacts &amp; Kickoff'!E6,""),IF(AND(RIGHT('Program Contacts &amp; Kickoff'!E6,10)&lt;&gt;"@DemoData.com",RIGHT('Program Contacts &amp; Kickoff'!E6,11)&lt;&gt;"@demodata.com",'Program Contacts &amp; Kickoff'!C6=""),'Program Contacts &amp; Kickoff'!E6,""))</f>
        <v>w.barnes@demodata.com</v>
      </c>
      <c r="AX27" s="585" t="s">
        <v>361</v>
      </c>
      <c r="BI27" s="264" t="str">
        <f t="shared" si="3"/>
        <v>y  |  Y</v>
      </c>
      <c r="BJ27" s="507" t="s">
        <v>193</v>
      </c>
      <c r="BK27" s="487" t="str">
        <f t="shared" si="2"/>
        <v>Y</v>
      </c>
    </row>
    <row r="28" spans="1:63" ht="45" customHeight="1" x14ac:dyDescent="0.55000000000000004">
      <c r="A28" s="573"/>
      <c r="B28" s="475"/>
      <c r="C28" s="475"/>
      <c r="D28" s="574"/>
      <c r="E28" s="574"/>
      <c r="F28" s="574"/>
      <c r="G28" s="574"/>
      <c r="H28" s="574"/>
      <c r="I28" s="574"/>
      <c r="J28" s="574"/>
      <c r="K28" s="574"/>
      <c r="L28" s="574"/>
      <c r="M28" s="574"/>
      <c r="N28" s="475"/>
      <c r="O28" s="475"/>
      <c r="P28" s="475"/>
      <c r="Q28" s="475"/>
      <c r="R28" s="574"/>
      <c r="S28" s="475"/>
      <c r="T28" s="574"/>
      <c r="U28" s="574"/>
      <c r="V28" s="475"/>
      <c r="W28" s="574"/>
      <c r="X28" s="574"/>
      <c r="Y28" s="475"/>
      <c r="Z28" s="574"/>
      <c r="AA28" s="574"/>
      <c r="AB28" s="574"/>
      <c r="AC28" s="575"/>
      <c r="AD28" s="575"/>
      <c r="AE28" s="575"/>
      <c r="AF28" s="575"/>
      <c r="AG28" s="575"/>
      <c r="AH28" s="575"/>
      <c r="AI28" s="575"/>
      <c r="AJ28" s="575"/>
      <c r="AK28" s="575"/>
      <c r="AL28" s="575"/>
      <c r="AM28" s="575"/>
      <c r="AN28" s="575"/>
      <c r="AO28" s="577"/>
      <c r="AP28" s="474" t="str">
        <f t="shared" si="1"/>
        <v>Montana (MT)</v>
      </c>
      <c r="AQ28" s="475" t="s">
        <v>359</v>
      </c>
      <c r="AR28" s="476" t="s">
        <v>360</v>
      </c>
      <c r="AT28" s="583" t="str">
        <f>_xlfn.XLOOKUP(AU28,'Program Contacts &amp; Kickoff'!$P$2:$P$63,'Program Contacts &amp; Kickoff'!$O$2:$O$63,AU28,FALSE)</f>
        <v>m.chen@demodata.com</v>
      </c>
      <c r="AU28" s="583" t="str">
        <f>IF('Program Contacts &amp; Kickoff'!E7&lt;&gt;"",IF(OR(RIGHT('Program Contacts &amp; Kickoff'!E7,10)="@DemoData.com",RIGHT('Program Contacts &amp; Kickoff'!E7,11)="@demodata.com",'Program Contacts &amp; Kickoff'!C7="JLB (Not On List)"),'Program Contacts &amp; Kickoff'!E7,""),"")</f>
        <v>m.chen@demodata.com</v>
      </c>
      <c r="AV28" s="584" t="str">
        <f>IF(OR('Program Contacts &amp; Kickoff'!C7="Primary Contact",'Program Contacts &amp; Kickoff'!C7="Technical Contact",'Program Contacts &amp; Kickoff'!H7=TRUE),IF(AND(RIGHT('Program Contacts &amp; Kickoff'!E7,10)&lt;&gt;"@DemoData.com",RIGHT('Program Contacts &amp; Kickoff'!E7,11)&lt;&gt;"@demodata.com"),'Program Contacts &amp; Kickoff'!E7,""),IF(AND(RIGHT('Program Contacts &amp; Kickoff'!E7,10)&lt;&gt;"@DemoData.com",RIGHT('Program Contacts &amp; Kickoff'!E7,11)&lt;&gt;"@demodata.com",'Program Contacts &amp; Kickoff'!C7=""),'Program Contacts &amp; Kickoff'!E7,""))</f>
        <v/>
      </c>
      <c r="AW28" s="584" t="str">
        <f>IF(OR('Program Contacts &amp; Kickoff'!C7="Primary Contact", 'Program Contacts &amp; Kickoff'!C7="Program Contact",'Program Contacts &amp; Kickoff'!H7=TRUE),IF(AND(RIGHT('Program Contacts &amp; Kickoff'!E7,10)&lt;&gt;"@DemoData.com",RIGHT('Program Contacts &amp; Kickoff'!E7,11)&lt;&gt;"@demodata.com"),'Program Contacts &amp; Kickoff'!E7,""),IF(AND(RIGHT('Program Contacts &amp; Kickoff'!E7,10)&lt;&gt;"@DemoData.com",RIGHT('Program Contacts &amp; Kickoff'!E7,11)&lt;&gt;"@demodata.com",'Program Contacts &amp; Kickoff'!C7=""),'Program Contacts &amp; Kickoff'!E7,""))</f>
        <v/>
      </c>
      <c r="AX28" s="585" t="s">
        <v>364</v>
      </c>
      <c r="BI28" s="264" t="str">
        <f t="shared" si="3"/>
        <v>z  |  Z</v>
      </c>
      <c r="BJ28" s="507" t="s">
        <v>194</v>
      </c>
      <c r="BK28" s="487" t="str">
        <f t="shared" si="2"/>
        <v>Z</v>
      </c>
    </row>
    <row r="29" spans="1:63" ht="45" customHeight="1" x14ac:dyDescent="0.55000000000000004">
      <c r="A29" s="573"/>
      <c r="B29" s="475"/>
      <c r="C29" s="475"/>
      <c r="D29" s="574"/>
      <c r="E29" s="574"/>
      <c r="F29" s="574"/>
      <c r="G29" s="574"/>
      <c r="H29" s="574"/>
      <c r="I29" s="574"/>
      <c r="J29" s="574"/>
      <c r="K29" s="574"/>
      <c r="L29" s="574"/>
      <c r="M29" s="574"/>
      <c r="N29" s="475"/>
      <c r="O29" s="475"/>
      <c r="P29" s="475"/>
      <c r="Q29" s="475"/>
      <c r="R29" s="574"/>
      <c r="S29" s="475"/>
      <c r="T29" s="574"/>
      <c r="U29" s="574"/>
      <c r="V29" s="475"/>
      <c r="W29" s="574"/>
      <c r="X29" s="574"/>
      <c r="Y29" s="475"/>
      <c r="Z29" s="574"/>
      <c r="AA29" s="574"/>
      <c r="AB29" s="574"/>
      <c r="AC29" s="575"/>
      <c r="AD29" s="575"/>
      <c r="AE29" s="575"/>
      <c r="AF29" s="575"/>
      <c r="AG29" s="575"/>
      <c r="AH29" s="575"/>
      <c r="AI29" s="575"/>
      <c r="AJ29" s="575"/>
      <c r="AK29" s="575"/>
      <c r="AL29" s="575"/>
      <c r="AM29" s="575"/>
      <c r="AN29" s="575"/>
      <c r="AO29" s="577"/>
      <c r="AP29" s="474" t="str">
        <f t="shared" si="1"/>
        <v>Nebraska (NE)</v>
      </c>
      <c r="AQ29" s="475" t="s">
        <v>362</v>
      </c>
      <c r="AR29" s="476" t="s">
        <v>363</v>
      </c>
      <c r="AT29" s="583" t="str">
        <f>_xlfn.XLOOKUP(AU29,'Program Contacts &amp; Kickoff'!$P$2:$P$63,'Program Contacts &amp; Kickoff'!$O$2:$O$63,AU29,FALSE)</f>
        <v/>
      </c>
      <c r="AU29" s="583" t="str">
        <f>IF('Program Contacts &amp; Kickoff'!E8&lt;&gt;"",IF(OR(RIGHT('Program Contacts &amp; Kickoff'!E8,10)="@DemoData.com",RIGHT('Program Contacts &amp; Kickoff'!E8,11)="@demodata.com",'Program Contacts &amp; Kickoff'!C8="JLB (Not On List)"),'Program Contacts &amp; Kickoff'!E8,""),"")</f>
        <v/>
      </c>
      <c r="AV29" s="584" t="str">
        <f>IF(OR('Program Contacts &amp; Kickoff'!C8="Primary Contact",'Program Contacts &amp; Kickoff'!C8="Technical Contact",'Program Contacts &amp; Kickoff'!H8=TRUE),IF(AND(RIGHT('Program Contacts &amp; Kickoff'!E8,10)&lt;&gt;"@DemoData.com",RIGHT('Program Contacts &amp; Kickoff'!E8,11)&lt;&gt;"@demodata.com"),'Program Contacts &amp; Kickoff'!E8,""),IF(AND(RIGHT('Program Contacts &amp; Kickoff'!E8,10)&lt;&gt;"@DemoData.com",RIGHT('Program Contacts &amp; Kickoff'!E8,11)&lt;&gt;"@demodata.com",'Program Contacts &amp; Kickoff'!C8=""),'Program Contacts &amp; Kickoff'!E8,""))</f>
        <v>t.navarro@demodata.com</v>
      </c>
      <c r="AW29" s="584" t="str">
        <f>IF(OR('Program Contacts &amp; Kickoff'!C8="Primary Contact", 'Program Contacts &amp; Kickoff'!C8="Program Contact",'Program Contacts &amp; Kickoff'!H8=TRUE),IF(AND(RIGHT('Program Contacts &amp; Kickoff'!E8,10)&lt;&gt;"@DemoData.com",RIGHT('Program Contacts &amp; Kickoff'!E8,11)&lt;&gt;"@demodata.com"),'Program Contacts &amp; Kickoff'!E8,""),IF(AND(RIGHT('Program Contacts &amp; Kickoff'!E8,10)&lt;&gt;"@DemoData.com",RIGHT('Program Contacts &amp; Kickoff'!E8,11)&lt;&gt;"@demodata.com",'Program Contacts &amp; Kickoff'!C8=""),'Program Contacts &amp; Kickoff'!E8,""))</f>
        <v>t.navarro@demodata.com</v>
      </c>
      <c r="AX29" s="586" t="s">
        <v>664</v>
      </c>
      <c r="BI29" s="264" t="str">
        <f t="shared" si="3"/>
        <v>1  |  1</v>
      </c>
      <c r="BJ29" s="507">
        <v>1</v>
      </c>
      <c r="BK29" s="487" t="str">
        <f t="shared" si="2"/>
        <v>1</v>
      </c>
    </row>
    <row r="30" spans="1:63" ht="45" customHeight="1" x14ac:dyDescent="0.55000000000000004">
      <c r="A30" s="573"/>
      <c r="B30" s="475"/>
      <c r="C30" s="475"/>
      <c r="D30" s="574"/>
      <c r="E30" s="574"/>
      <c r="F30" s="574"/>
      <c r="G30" s="574"/>
      <c r="H30" s="574"/>
      <c r="I30" s="574"/>
      <c r="J30" s="574"/>
      <c r="K30" s="574"/>
      <c r="L30" s="574"/>
      <c r="M30" s="574"/>
      <c r="N30" s="475"/>
      <c r="O30" s="475"/>
      <c r="P30" s="475"/>
      <c r="Q30" s="475"/>
      <c r="R30" s="574"/>
      <c r="S30" s="475"/>
      <c r="T30" s="574"/>
      <c r="U30" s="574"/>
      <c r="V30" s="475"/>
      <c r="W30" s="574"/>
      <c r="X30" s="574"/>
      <c r="Y30" s="475"/>
      <c r="Z30" s="574"/>
      <c r="AA30" s="574"/>
      <c r="AB30" s="574"/>
      <c r="AC30" s="575"/>
      <c r="AD30" s="575"/>
      <c r="AE30" s="575"/>
      <c r="AF30" s="575"/>
      <c r="AG30" s="575"/>
      <c r="AH30" s="575"/>
      <c r="AI30" s="575"/>
      <c r="AJ30" s="575"/>
      <c r="AK30" s="575"/>
      <c r="AL30" s="575"/>
      <c r="AM30" s="575"/>
      <c r="AN30" s="575"/>
      <c r="AO30" s="577"/>
      <c r="AP30" s="474" t="str">
        <f t="shared" si="1"/>
        <v>Nevada (NV)</v>
      </c>
      <c r="AQ30" s="475" t="s">
        <v>365</v>
      </c>
      <c r="AR30" s="476" t="s">
        <v>366</v>
      </c>
      <c r="AT30" s="583" t="str">
        <f>_xlfn.XLOOKUP(AU30,'Program Contacts &amp; Kickoff'!$P$2:$P$63,'Program Contacts &amp; Kickoff'!$O$2:$O$63,AU30,FALSE)</f>
        <v/>
      </c>
      <c r="AU30" s="583" t="str">
        <f>IF('Program Contacts &amp; Kickoff'!E9&lt;&gt;"",IF(OR(RIGHT('Program Contacts &amp; Kickoff'!E9,10)="@DemoData.com",RIGHT('Program Contacts &amp; Kickoff'!E9,11)="@demodata.com",'Program Contacts &amp; Kickoff'!C9="JLB (Not On List)"),'Program Contacts &amp; Kickoff'!E9,""),"")</f>
        <v/>
      </c>
      <c r="AV30" s="584" t="str">
        <f>IF(OR('Program Contacts &amp; Kickoff'!C9="Primary Contact",'Program Contacts &amp; Kickoff'!C9="Technical Contact",'Program Contacts &amp; Kickoff'!H9=TRUE),IF(AND(RIGHT('Program Contacts &amp; Kickoff'!E9,10)&lt;&gt;"@DemoData.com",RIGHT('Program Contacts &amp; Kickoff'!E9,11)&lt;&gt;"@demodata.com"),'Program Contacts &amp; Kickoff'!E9,""),IF(AND(RIGHT('Program Contacts &amp; Kickoff'!E9,10)&lt;&gt;"@DemoData.com",RIGHT('Program Contacts &amp; Kickoff'!E9,11)&lt;&gt;"@demodata.com",'Program Contacts &amp; Kickoff'!C9=""),'Program Contacts &amp; Kickoff'!E9,""))</f>
        <v>n.reed@demodata.com</v>
      </c>
      <c r="AW30" s="584" t="str">
        <f>IF(OR('Program Contacts &amp; Kickoff'!C9="Primary Contact", 'Program Contacts &amp; Kickoff'!C9="Program Contact",'Program Contacts &amp; Kickoff'!H9=TRUE),IF(AND(RIGHT('Program Contacts &amp; Kickoff'!E9,10)&lt;&gt;"@DemoData.com",RIGHT('Program Contacts &amp; Kickoff'!E9,11)&lt;&gt;"@demodata.com"),'Program Contacts &amp; Kickoff'!E9,""),IF(AND(RIGHT('Program Contacts &amp; Kickoff'!E9,10)&lt;&gt;"@DemoData.com",RIGHT('Program Contacts &amp; Kickoff'!E9,11)&lt;&gt;"@demodata.com",'Program Contacts &amp; Kickoff'!C9=""),'Program Contacts &amp; Kickoff'!E9,""))</f>
        <v>n.reed@demodata.com</v>
      </c>
      <c r="AX30" s="586"/>
      <c r="BI30" s="264" t="str">
        <f t="shared" si="3"/>
        <v>2  |  2</v>
      </c>
      <c r="BJ30" s="507">
        <v>2</v>
      </c>
      <c r="BK30" s="487" t="str">
        <f t="shared" si="2"/>
        <v>2</v>
      </c>
    </row>
    <row r="31" spans="1:63" ht="45" customHeight="1" x14ac:dyDescent="0.55000000000000004">
      <c r="A31" s="573"/>
      <c r="B31" s="475"/>
      <c r="C31" s="475"/>
      <c r="D31" s="574"/>
      <c r="E31" s="574"/>
      <c r="F31" s="574"/>
      <c r="G31" s="574"/>
      <c r="H31" s="574"/>
      <c r="I31" s="574"/>
      <c r="J31" s="574"/>
      <c r="K31" s="574"/>
      <c r="L31" s="574"/>
      <c r="M31" s="574"/>
      <c r="N31" s="475"/>
      <c r="O31" s="475"/>
      <c r="P31" s="475"/>
      <c r="Q31" s="475"/>
      <c r="R31" s="574"/>
      <c r="S31" s="475"/>
      <c r="T31" s="574"/>
      <c r="U31" s="574"/>
      <c r="V31" s="475"/>
      <c r="W31" s="574"/>
      <c r="X31" s="574"/>
      <c r="Y31" s="475"/>
      <c r="Z31" s="574"/>
      <c r="AA31" s="574"/>
      <c r="AB31" s="574"/>
      <c r="AC31" s="575"/>
      <c r="AD31" s="575"/>
      <c r="AE31" s="575"/>
      <c r="AF31" s="575"/>
      <c r="AG31" s="575"/>
      <c r="AH31" s="575"/>
      <c r="AI31" s="575"/>
      <c r="AJ31" s="575"/>
      <c r="AK31" s="575"/>
      <c r="AL31" s="575"/>
      <c r="AM31" s="575"/>
      <c r="AN31" s="575"/>
      <c r="AO31" s="577"/>
      <c r="AP31" s="474" t="str">
        <f t="shared" si="1"/>
        <v>New Hampshire (NH)</v>
      </c>
      <c r="AQ31" s="475" t="s">
        <v>367</v>
      </c>
      <c r="AR31" s="476" t="s">
        <v>368</v>
      </c>
      <c r="AT31" s="587" t="str">
        <f>_xlfn.XLOOKUP(AU31,'Program Contacts &amp; Kickoff'!$P$2:$P$63,'Program Contacts &amp; Kickoff'!$O$2:$O$63,AU31,FALSE)</f>
        <v/>
      </c>
      <c r="AU31" s="587" t="str">
        <f>IF('Program Contacts &amp; Kickoff'!E10&lt;&gt;"",IF(OR(RIGHT('Program Contacts &amp; Kickoff'!E10,10)="@DemoData.com",RIGHT('Program Contacts &amp; Kickoff'!E10,11)="@demodata.com",'Program Contacts &amp; Kickoff'!C10="JLB (Not On List)"),'Program Contacts &amp; Kickoff'!E10,""),"")</f>
        <v/>
      </c>
      <c r="AV31" s="584" t="str">
        <f>IF(OR('Program Contacts &amp; Kickoff'!C10="Primary Contact",'Program Contacts &amp; Kickoff'!C10="Technical Contact",'Program Contacts &amp; Kickoff'!H10=TRUE),IF(AND(RIGHT('Program Contacts &amp; Kickoff'!E10,10)&lt;&gt;"@DemoData.com",RIGHT('Program Contacts &amp; Kickoff'!E10,11)&lt;&gt;"@demodata.com"),'Program Contacts &amp; Kickoff'!E10,""),IF(AND(RIGHT('Program Contacts &amp; Kickoff'!E10,10)&lt;&gt;"@DemoData.com",RIGHT('Program Contacts &amp; Kickoff'!E10,11)&lt;&gt;"@demodata.com",'Program Contacts &amp; Kickoff'!C10=""),'Program Contacts &amp; Kickoff'!E10,""))</f>
        <v/>
      </c>
      <c r="AW31" s="584" t="str">
        <f>IF(OR('Program Contacts &amp; Kickoff'!C10="Primary Contact", 'Program Contacts &amp; Kickoff'!C10="Program Contact",'Program Contacts &amp; Kickoff'!H10=TRUE),IF(AND(RIGHT('Program Contacts &amp; Kickoff'!E10,10)&lt;&gt;"@DemoData.com",RIGHT('Program Contacts &amp; Kickoff'!E10,11)&lt;&gt;"@demodata.com"),'Program Contacts &amp; Kickoff'!E10,""),IF(AND(RIGHT('Program Contacts &amp; Kickoff'!E10,10)&lt;&gt;"@DemoData.com",RIGHT('Program Contacts &amp; Kickoff'!E10,11)&lt;&gt;"@demodata.com",'Program Contacts &amp; Kickoff'!C10=""),'Program Contacts &amp; Kickoff'!E10,""))</f>
        <v/>
      </c>
      <c r="AX31" s="582" t="s">
        <v>4</v>
      </c>
      <c r="BI31" s="264" t="str">
        <f t="shared" si="3"/>
        <v>3  |  3</v>
      </c>
      <c r="BJ31" s="507">
        <v>3</v>
      </c>
      <c r="BK31" s="487" t="str">
        <f t="shared" si="2"/>
        <v>3</v>
      </c>
    </row>
    <row r="32" spans="1:63" ht="45" customHeight="1" thickBot="1" x14ac:dyDescent="0.6">
      <c r="A32" s="573"/>
      <c r="B32" s="475"/>
      <c r="C32" s="475"/>
      <c r="D32" s="574"/>
      <c r="E32" s="574"/>
      <c r="F32" s="574"/>
      <c r="G32" s="574"/>
      <c r="H32" s="574"/>
      <c r="I32" s="574"/>
      <c r="J32" s="574"/>
      <c r="K32" s="574"/>
      <c r="L32" s="574"/>
      <c r="M32" s="574"/>
      <c r="N32" s="475"/>
      <c r="O32" s="475"/>
      <c r="P32" s="475"/>
      <c r="Q32" s="475"/>
      <c r="R32" s="574"/>
      <c r="S32" s="475"/>
      <c r="T32" s="574"/>
      <c r="U32" s="574"/>
      <c r="V32" s="475"/>
      <c r="W32" s="574"/>
      <c r="X32" s="574"/>
      <c r="Y32" s="475"/>
      <c r="Z32" s="574"/>
      <c r="AA32" s="574"/>
      <c r="AB32" s="574"/>
      <c r="AC32" s="575"/>
      <c r="AD32" s="575"/>
      <c r="AE32" s="575"/>
      <c r="AF32" s="575"/>
      <c r="AG32" s="575"/>
      <c r="AH32" s="575"/>
      <c r="AI32" s="575"/>
      <c r="AJ32" s="575"/>
      <c r="AK32" s="575"/>
      <c r="AL32" s="575"/>
      <c r="AM32" s="575"/>
      <c r="AN32" s="575"/>
      <c r="AO32" s="577"/>
      <c r="AP32" s="474" t="str">
        <f t="shared" si="1"/>
        <v>New Jersey (NJ)</v>
      </c>
      <c r="AQ32" s="475" t="s">
        <v>369</v>
      </c>
      <c r="AR32" s="476" t="s">
        <v>370</v>
      </c>
      <c r="AT32" s="583" t="str">
        <f>_xlfn.XLOOKUP(AU32,'Program Contacts &amp; Kickoff'!$P$2:$P$63,'Program Contacts &amp; Kickoff'!$O$2:$O$63,AU32,FALSE)</f>
        <v/>
      </c>
      <c r="AU32" s="583" t="str">
        <f>IF('Program Contacts &amp; Kickoff'!E11&lt;&gt;"",IF(OR(RIGHT('Program Contacts &amp; Kickoff'!E11,10)="@DemoData.com",RIGHT('Program Contacts &amp; Kickoff'!E11,11)="@demodata.com",'Program Contacts &amp; Kickoff'!C11="JLB (Not On List)"),'Program Contacts &amp; Kickoff'!E11,""),"")</f>
        <v/>
      </c>
      <c r="AV32" s="584" t="str">
        <f>IF(OR('Program Contacts &amp; Kickoff'!C11="Primary Contact",'Program Contacts &amp; Kickoff'!C11="Technical Contact",'Program Contacts &amp; Kickoff'!H11=TRUE),IF(AND(RIGHT('Program Contacts &amp; Kickoff'!E11,10)&lt;&gt;"@DemoData.com",RIGHT('Program Contacts &amp; Kickoff'!E11,11)&lt;&gt;"@demodata.com"),'Program Contacts &amp; Kickoff'!E11,""),IF(AND(RIGHT('Program Contacts &amp; Kickoff'!E11,10)&lt;&gt;"@DemoData.com",RIGHT('Program Contacts &amp; Kickoff'!E11,11)&lt;&gt;"@demodata.com",'Program Contacts &amp; Kickoff'!C11=""),'Program Contacts &amp; Kickoff'!E11,""))</f>
        <v/>
      </c>
      <c r="AW32" s="584" t="str">
        <f>IF(OR('Program Contacts &amp; Kickoff'!C11="Primary Contact", 'Program Contacts &amp; Kickoff'!C11="Program Contact",'Program Contacts &amp; Kickoff'!H11=TRUE),IF(AND(RIGHT('Program Contacts &amp; Kickoff'!E11,10)&lt;&gt;"@DemoData.com",RIGHT('Program Contacts &amp; Kickoff'!E11,11)&lt;&gt;"@demodata.com"),'Program Contacts &amp; Kickoff'!E11,""),IF(AND(RIGHT('Program Contacts &amp; Kickoff'!E11,10)&lt;&gt;"@DemoData.com",RIGHT('Program Contacts &amp; Kickoff'!E11,11)&lt;&gt;"@demodata.com",'Program Contacts &amp; Kickoff'!C11=""),'Program Contacts &amp; Kickoff'!E11,""))</f>
        <v/>
      </c>
      <c r="AX32" s="588" t="str">
        <f>(IF('Program Contacts &amp; Kickoff'!B2&lt;&gt;"",_xlfn.CONCAT(""&amp;('Program Contacts &amp; Kickoff'!B2)),""))</f>
        <v>Leah Adler</v>
      </c>
      <c r="BI32" s="264" t="str">
        <f t="shared" si="3"/>
        <v>4  |  4</v>
      </c>
      <c r="BJ32" s="507">
        <v>4</v>
      </c>
      <c r="BK32" s="487" t="str">
        <f t="shared" si="2"/>
        <v>4</v>
      </c>
    </row>
    <row r="33" spans="1:63" ht="45" customHeight="1" x14ac:dyDescent="0.55000000000000004">
      <c r="A33" s="573"/>
      <c r="B33" s="475"/>
      <c r="C33" s="475"/>
      <c r="D33" s="574"/>
      <c r="E33" s="574"/>
      <c r="F33" s="574"/>
      <c r="G33" s="574"/>
      <c r="H33" s="574"/>
      <c r="I33" s="574"/>
      <c r="J33" s="574"/>
      <c r="K33" s="574"/>
      <c r="L33" s="574"/>
      <c r="M33" s="574"/>
      <c r="N33" s="475"/>
      <c r="O33" s="475"/>
      <c r="P33" s="475"/>
      <c r="Q33" s="475"/>
      <c r="R33" s="574"/>
      <c r="S33" s="475"/>
      <c r="T33" s="574"/>
      <c r="U33" s="574"/>
      <c r="V33" s="475"/>
      <c r="W33" s="574"/>
      <c r="X33" s="574"/>
      <c r="Y33" s="475"/>
      <c r="Z33" s="574"/>
      <c r="AA33" s="574"/>
      <c r="AB33" s="574"/>
      <c r="AC33" s="575"/>
      <c r="AD33" s="575"/>
      <c r="AE33" s="575"/>
      <c r="AF33" s="575"/>
      <c r="AG33" s="575"/>
      <c r="AH33" s="575"/>
      <c r="AI33" s="575"/>
      <c r="AJ33" s="575"/>
      <c r="AK33" s="575"/>
      <c r="AL33" s="575"/>
      <c r="AM33" s="575"/>
      <c r="AN33" s="575"/>
      <c r="AO33" s="577"/>
      <c r="AP33" s="474" t="str">
        <f t="shared" si="1"/>
        <v>New Mexico (NM)</v>
      </c>
      <c r="AQ33" s="475" t="s">
        <v>371</v>
      </c>
      <c r="AR33" s="476" t="s">
        <v>372</v>
      </c>
      <c r="AT33" s="583" t="str">
        <f>_xlfn.XLOOKUP(AU33,'Program Contacts &amp; Kickoff'!$P$2:$P$63,'Program Contacts &amp; Kickoff'!$O$2:$O$63,AU33,FALSE)</f>
        <v/>
      </c>
      <c r="AU33" s="583" t="str">
        <f>IF('Program Contacts &amp; Kickoff'!E12&lt;&gt;"",IF(OR(RIGHT('Program Contacts &amp; Kickoff'!E12,10)="@DemoData.com",RIGHT('Program Contacts &amp; Kickoff'!E12,11)="@demodata.com",'Program Contacts &amp; Kickoff'!C12="JLB (Not On List)"),'Program Contacts &amp; Kickoff'!E12,""),"")</f>
        <v/>
      </c>
      <c r="AV33" s="584" t="str">
        <f>IF(OR('Program Contacts &amp; Kickoff'!C12="Primary Contact",'Program Contacts &amp; Kickoff'!C12="Technical Contact",'Program Contacts &amp; Kickoff'!H12=TRUE),IF(AND(RIGHT('Program Contacts &amp; Kickoff'!E12,10)&lt;&gt;"@DemoData.com",RIGHT('Program Contacts &amp; Kickoff'!E12,11)&lt;&gt;"@demodata.com"),'Program Contacts &amp; Kickoff'!E12,""),IF(AND(RIGHT('Program Contacts &amp; Kickoff'!E12,10)&lt;&gt;"@DemoData.com",RIGHT('Program Contacts &amp; Kickoff'!E12,11)&lt;&gt;"@demodata.com",'Program Contacts &amp; Kickoff'!C12=""),'Program Contacts &amp; Kickoff'!E12,""))</f>
        <v/>
      </c>
      <c r="AW33" s="584" t="str">
        <f>IF(OR('Program Contacts &amp; Kickoff'!C12="Primary Contact", 'Program Contacts &amp; Kickoff'!C12="Program Contact",'Program Contacts &amp; Kickoff'!H12=TRUE),IF(AND(RIGHT('Program Contacts &amp; Kickoff'!E12,10)&lt;&gt;"@DemoData.com",RIGHT('Program Contacts &amp; Kickoff'!E12,11)&lt;&gt;"@demodata.com"),'Program Contacts &amp; Kickoff'!E12,""),IF(AND(RIGHT('Program Contacts &amp; Kickoff'!E12,10)&lt;&gt;"@DemoData.com",RIGHT('Program Contacts &amp; Kickoff'!E12,11)&lt;&gt;"@demodata.com",'Program Contacts &amp; Kickoff'!C12=""),'Program Contacts &amp; Kickoff'!E12,""))</f>
        <v/>
      </c>
      <c r="AX33" s="582" t="s">
        <v>373</v>
      </c>
      <c r="BI33" s="264" t="str">
        <f t="shared" si="3"/>
        <v>5  |  5</v>
      </c>
      <c r="BJ33" s="507">
        <v>5</v>
      </c>
      <c r="BK33" s="487" t="str">
        <f t="shared" si="2"/>
        <v>5</v>
      </c>
    </row>
    <row r="34" spans="1:63" ht="45" customHeight="1" thickBot="1" x14ac:dyDescent="0.6">
      <c r="A34" s="573"/>
      <c r="B34" s="475"/>
      <c r="C34" s="475"/>
      <c r="D34" s="574"/>
      <c r="E34" s="574"/>
      <c r="F34" s="574"/>
      <c r="G34" s="574"/>
      <c r="H34" s="574"/>
      <c r="I34" s="574"/>
      <c r="J34" s="574"/>
      <c r="K34" s="574"/>
      <c r="L34" s="574"/>
      <c r="M34" s="574"/>
      <c r="N34" s="475"/>
      <c r="O34" s="475"/>
      <c r="P34" s="475"/>
      <c r="Q34" s="475"/>
      <c r="R34" s="574"/>
      <c r="S34" s="475"/>
      <c r="T34" s="574"/>
      <c r="U34" s="574"/>
      <c r="V34" s="475"/>
      <c r="W34" s="574"/>
      <c r="X34" s="574"/>
      <c r="Y34" s="475"/>
      <c r="Z34" s="574"/>
      <c r="AA34" s="574"/>
      <c r="AB34" s="574"/>
      <c r="AC34" s="575"/>
      <c r="AD34" s="575"/>
      <c r="AE34" s="575"/>
      <c r="AF34" s="575"/>
      <c r="AG34" s="575"/>
      <c r="AH34" s="575"/>
      <c r="AI34" s="575"/>
      <c r="AJ34" s="575"/>
      <c r="AK34" s="575"/>
      <c r="AL34" s="575"/>
      <c r="AM34" s="575"/>
      <c r="AN34" s="575"/>
      <c r="AO34" s="577"/>
      <c r="AP34" s="474" t="str">
        <f t="shared" si="1"/>
        <v>New York (NY)</v>
      </c>
      <c r="AQ34" s="475" t="s">
        <v>374</v>
      </c>
      <c r="AR34" s="476" t="s">
        <v>375</v>
      </c>
      <c r="AT34" s="583" t="str">
        <f>_xlfn.XLOOKUP(AU34,'Program Contacts &amp; Kickoff'!$P$2:$P$63,'Program Contacts &amp; Kickoff'!$O$2:$O$63,AU34,FALSE)</f>
        <v/>
      </c>
      <c r="AU34" s="583" t="str">
        <f>IF('Program Contacts &amp; Kickoff'!E13&lt;&gt;"",IF(OR(RIGHT('Program Contacts &amp; Kickoff'!E13,10)="@DemoData.com",RIGHT('Program Contacts &amp; Kickoff'!E13,11)="@demodata.com",'Program Contacts &amp; Kickoff'!C13="JLB (Not On List)"),'Program Contacts &amp; Kickoff'!E13,""),"")</f>
        <v/>
      </c>
      <c r="AV34" s="584" t="str">
        <f>IF(OR('Program Contacts &amp; Kickoff'!C13="Primary Contact",'Program Contacts &amp; Kickoff'!C13="Technical Contact",'Program Contacts &amp; Kickoff'!H13=TRUE),IF(AND(RIGHT('Program Contacts &amp; Kickoff'!E13,10)&lt;&gt;"@DemoData.com",RIGHT('Program Contacts &amp; Kickoff'!E13,11)&lt;&gt;"@demodata.com"),'Program Contacts &amp; Kickoff'!E13,""),IF(AND(RIGHT('Program Contacts &amp; Kickoff'!E13,10)&lt;&gt;"@DemoData.com",RIGHT('Program Contacts &amp; Kickoff'!E13,11)&lt;&gt;"@demodata.com",'Program Contacts &amp; Kickoff'!C13=""),'Program Contacts &amp; Kickoff'!E13,""))</f>
        <v/>
      </c>
      <c r="AW34" s="584" t="str">
        <f>IF(OR('Program Contacts &amp; Kickoff'!C13="Primary Contact", 'Program Contacts &amp; Kickoff'!C13="Program Contact",'Program Contacts &amp; Kickoff'!H13=TRUE),IF(AND(RIGHT('Program Contacts &amp; Kickoff'!E13,10)&lt;&gt;"@DemoData.com",RIGHT('Program Contacts &amp; Kickoff'!E13,11)&lt;&gt;"@demodata.com"),'Program Contacts &amp; Kickoff'!E13,""),IF(AND(RIGHT('Program Contacts &amp; Kickoff'!E13,10)&lt;&gt;"@DemoData.com",RIGHT('Program Contacts &amp; Kickoff'!E13,11)&lt;&gt;"@demodata.com",'Program Contacts &amp; Kickoff'!C13=""),'Program Contacts &amp; Kickoff'!E13,""))</f>
        <v/>
      </c>
      <c r="AX34" s="588" t="str">
        <f>(IF('Program Contacts &amp; Kickoff'!B3&lt;&gt;"",_xlfn.CONCAT(""&amp;('Program Contacts &amp; Kickoff'!B3)),""))</f>
        <v>Gavin Park</v>
      </c>
      <c r="BI34" s="264" t="str">
        <f t="shared" si="3"/>
        <v>6  |  6</v>
      </c>
      <c r="BJ34" s="507">
        <v>6</v>
      </c>
      <c r="BK34" s="487" t="str">
        <f t="shared" si="2"/>
        <v>6</v>
      </c>
    </row>
    <row r="35" spans="1:63" ht="45" customHeight="1" x14ac:dyDescent="0.55000000000000004">
      <c r="A35" s="573"/>
      <c r="B35" s="475"/>
      <c r="C35" s="475"/>
      <c r="D35" s="574"/>
      <c r="E35" s="574"/>
      <c r="F35" s="574"/>
      <c r="G35" s="574"/>
      <c r="H35" s="574"/>
      <c r="I35" s="574"/>
      <c r="J35" s="574"/>
      <c r="K35" s="574"/>
      <c r="L35" s="574"/>
      <c r="M35" s="574"/>
      <c r="N35" s="475"/>
      <c r="O35" s="475"/>
      <c r="P35" s="475"/>
      <c r="Q35" s="475"/>
      <c r="R35" s="574"/>
      <c r="S35" s="475"/>
      <c r="T35" s="574"/>
      <c r="U35" s="574"/>
      <c r="V35" s="475"/>
      <c r="W35" s="574"/>
      <c r="X35" s="574"/>
      <c r="Y35" s="475"/>
      <c r="Z35" s="574"/>
      <c r="AA35" s="574"/>
      <c r="AB35" s="574"/>
      <c r="AC35" s="575"/>
      <c r="AD35" s="575"/>
      <c r="AE35" s="575"/>
      <c r="AF35" s="575"/>
      <c r="AG35" s="575"/>
      <c r="AH35" s="575"/>
      <c r="AI35" s="575"/>
      <c r="AJ35" s="575"/>
      <c r="AK35" s="575"/>
      <c r="AL35" s="575"/>
      <c r="AM35" s="575"/>
      <c r="AN35" s="575"/>
      <c r="AO35" s="577"/>
      <c r="AP35" s="474" t="str">
        <f t="shared" ref="AP35:AP53" si="6">_xlfn.CONCAT(""&amp;(AQ35)&amp;" ("&amp;AR35&amp;")")</f>
        <v>North Carolina (NC)</v>
      </c>
      <c r="AQ35" s="475" t="s">
        <v>376</v>
      </c>
      <c r="AR35" s="476" t="s">
        <v>377</v>
      </c>
      <c r="AT35" s="583" t="str">
        <f>_xlfn.XLOOKUP(AU35,'Program Contacts &amp; Kickoff'!$P$2:$P$63,'Program Contacts &amp; Kickoff'!$O$2:$O$63,AU35,FALSE)</f>
        <v/>
      </c>
      <c r="AU35" s="583" t="str">
        <f>IF('Program Contacts &amp; Kickoff'!E14&lt;&gt;"",IF(OR(RIGHT('Program Contacts &amp; Kickoff'!E14,10)="@DemoData.com",RIGHT('Program Contacts &amp; Kickoff'!E14,11)="@demodata.com",'Program Contacts &amp; Kickoff'!C14="JLB (Not On List)"),'Program Contacts &amp; Kickoff'!E14,""),"")</f>
        <v/>
      </c>
      <c r="AV35" s="584" t="str">
        <f>IF(OR('Program Contacts &amp; Kickoff'!C14="Primary Contact",'Program Contacts &amp; Kickoff'!C14="Technical Contact",'Program Contacts &amp; Kickoff'!H14=TRUE),IF(AND(RIGHT('Program Contacts &amp; Kickoff'!E14,10)&lt;&gt;"@DemoData.com",RIGHT('Program Contacts &amp; Kickoff'!E14,11)&lt;&gt;"@demodata.com"),'Program Contacts &amp; Kickoff'!E14,""),IF(AND(RIGHT('Program Contacts &amp; Kickoff'!E14,10)&lt;&gt;"@DemoData.com",RIGHT('Program Contacts &amp; Kickoff'!E14,11)&lt;&gt;"@demodata.com",'Program Contacts &amp; Kickoff'!C14=""),'Program Contacts &amp; Kickoff'!E14,""))</f>
        <v/>
      </c>
      <c r="AW35" s="584" t="str">
        <f>IF(OR('Program Contacts &amp; Kickoff'!C14="Primary Contact", 'Program Contacts &amp; Kickoff'!C14="Program Contact",'Program Contacts &amp; Kickoff'!H14=TRUE),IF(AND(RIGHT('Program Contacts &amp; Kickoff'!E14,10)&lt;&gt;"@DemoData.com",RIGHT('Program Contacts &amp; Kickoff'!E14,11)&lt;&gt;"@demodata.com"),'Program Contacts &amp; Kickoff'!E14,""),IF(AND(RIGHT('Program Contacts &amp; Kickoff'!E14,10)&lt;&gt;"@DemoData.com",RIGHT('Program Contacts &amp; Kickoff'!E14,11)&lt;&gt;"@demodata.com",'Program Contacts &amp; Kickoff'!C14=""),'Program Contacts &amp; Kickoff'!E14,""))</f>
        <v/>
      </c>
      <c r="AX35" s="589" t="s">
        <v>456</v>
      </c>
      <c r="BI35" s="264" t="str">
        <f t="shared" si="3"/>
        <v>7  |  7</v>
      </c>
      <c r="BJ35" s="507">
        <v>7</v>
      </c>
      <c r="BK35" s="487" t="str">
        <f t="shared" si="2"/>
        <v>7</v>
      </c>
    </row>
    <row r="36" spans="1:63" ht="45" customHeight="1" x14ac:dyDescent="0.55000000000000004">
      <c r="A36" s="573"/>
      <c r="B36" s="475"/>
      <c r="C36" s="475"/>
      <c r="D36" s="574"/>
      <c r="E36" s="574"/>
      <c r="F36" s="574"/>
      <c r="G36" s="574"/>
      <c r="H36" s="574"/>
      <c r="I36" s="574"/>
      <c r="J36" s="574"/>
      <c r="K36" s="574"/>
      <c r="L36" s="574"/>
      <c r="M36" s="574"/>
      <c r="N36" s="475"/>
      <c r="O36" s="475"/>
      <c r="P36" s="475"/>
      <c r="Q36" s="475"/>
      <c r="R36" s="574"/>
      <c r="S36" s="475"/>
      <c r="T36" s="574"/>
      <c r="U36" s="574"/>
      <c r="V36" s="475"/>
      <c r="W36" s="574"/>
      <c r="X36" s="574"/>
      <c r="Y36" s="475"/>
      <c r="Z36" s="574"/>
      <c r="AA36" s="574"/>
      <c r="AB36" s="574"/>
      <c r="AC36" s="575"/>
      <c r="AD36" s="575"/>
      <c r="AE36" s="575"/>
      <c r="AF36" s="575"/>
      <c r="AG36" s="575"/>
      <c r="AH36" s="575"/>
      <c r="AI36" s="575"/>
      <c r="AJ36" s="575"/>
      <c r="AK36" s="575"/>
      <c r="AL36" s="575"/>
      <c r="AM36" s="575"/>
      <c r="AN36" s="575"/>
      <c r="AO36" s="577"/>
      <c r="AP36" s="474" t="str">
        <f t="shared" si="6"/>
        <v>North Dakota (ND)</v>
      </c>
      <c r="AQ36" s="475" t="s">
        <v>378</v>
      </c>
      <c r="AR36" s="476" t="s">
        <v>379</v>
      </c>
      <c r="AT36" s="583" t="str">
        <f>_xlfn.XLOOKUP(AU36,'Program Contacts &amp; Kickoff'!$P$2:$P$63,'Program Contacts &amp; Kickoff'!$O$2:$O$63,AU36,FALSE)</f>
        <v/>
      </c>
      <c r="AU36" s="583" t="str">
        <f>IF('Program Contacts &amp; Kickoff'!E15&lt;&gt;"",IF(OR(RIGHT('Program Contacts &amp; Kickoff'!E15,10)="@DemoData.com",RIGHT('Program Contacts &amp; Kickoff'!E15,11)="@demodata.com",'Program Contacts &amp; Kickoff'!C15="JLB (Not On List)"),'Program Contacts &amp; Kickoff'!E15,""),"")</f>
        <v/>
      </c>
      <c r="AV36" s="584" t="str">
        <f>IF(OR('Program Contacts &amp; Kickoff'!C15="Primary Contact",'Program Contacts &amp; Kickoff'!C15="Technical Contact",'Program Contacts &amp; Kickoff'!H15=TRUE),IF(AND(RIGHT('Program Contacts &amp; Kickoff'!E15,10)&lt;&gt;"@DemoData.com",RIGHT('Program Contacts &amp; Kickoff'!E15,11)&lt;&gt;"@demodata.com"),'Program Contacts &amp; Kickoff'!E15,""),IF(AND(RIGHT('Program Contacts &amp; Kickoff'!E15,10)&lt;&gt;"@DemoData.com",RIGHT('Program Contacts &amp; Kickoff'!E15,11)&lt;&gt;"@demodata.com",'Program Contacts &amp; Kickoff'!C15=""),'Program Contacts &amp; Kickoff'!E15,""))</f>
        <v/>
      </c>
      <c r="AW36" s="584" t="str">
        <f>IF(OR('Program Contacts &amp; Kickoff'!C15="Primary Contact", 'Program Contacts &amp; Kickoff'!C15="Program Contact",'Program Contacts &amp; Kickoff'!H15=TRUE),IF(AND(RIGHT('Program Contacts &amp; Kickoff'!E15,10)&lt;&gt;"@DemoData.com",RIGHT('Program Contacts &amp; Kickoff'!E15,11)&lt;&gt;"@demodata.com"),'Program Contacts &amp; Kickoff'!E15,""),IF(AND(RIGHT('Program Contacts &amp; Kickoff'!E15,10)&lt;&gt;"@DemoData.com",RIGHT('Program Contacts &amp; Kickoff'!E15,11)&lt;&gt;"@demodata.com",'Program Contacts &amp; Kickoff'!C15=""),'Program Contacts &amp; Kickoff'!E15,""))</f>
        <v/>
      </c>
      <c r="AX36" s="589" t="s">
        <v>455</v>
      </c>
      <c r="BI36" s="264" t="str">
        <f t="shared" si="3"/>
        <v>8  |  8</v>
      </c>
      <c r="BJ36" s="507">
        <v>8</v>
      </c>
      <c r="BK36" s="487" t="str">
        <f t="shared" si="2"/>
        <v>8</v>
      </c>
    </row>
    <row r="37" spans="1:63" ht="45" customHeight="1" x14ac:dyDescent="0.55000000000000004">
      <c r="A37" s="573"/>
      <c r="B37" s="475"/>
      <c r="C37" s="475"/>
      <c r="D37" s="574"/>
      <c r="E37" s="574"/>
      <c r="F37" s="574"/>
      <c r="G37" s="574"/>
      <c r="H37" s="574"/>
      <c r="I37" s="574"/>
      <c r="J37" s="574"/>
      <c r="K37" s="574"/>
      <c r="L37" s="574"/>
      <c r="M37" s="574"/>
      <c r="N37" s="475"/>
      <c r="O37" s="475"/>
      <c r="P37" s="475"/>
      <c r="Q37" s="475"/>
      <c r="R37" s="574"/>
      <c r="S37" s="475"/>
      <c r="T37" s="574"/>
      <c r="U37" s="574"/>
      <c r="V37" s="475"/>
      <c r="W37" s="574"/>
      <c r="X37" s="574"/>
      <c r="Y37" s="475"/>
      <c r="Z37" s="574"/>
      <c r="AA37" s="574"/>
      <c r="AB37" s="574"/>
      <c r="AC37" s="575"/>
      <c r="AD37" s="575"/>
      <c r="AE37" s="575"/>
      <c r="AF37" s="575"/>
      <c r="AG37" s="575"/>
      <c r="AH37" s="575"/>
      <c r="AI37" s="575"/>
      <c r="AJ37" s="575"/>
      <c r="AK37" s="575"/>
      <c r="AL37" s="575"/>
      <c r="AM37" s="575"/>
      <c r="AN37" s="575"/>
      <c r="AO37" s="577"/>
      <c r="AP37" s="474" t="str">
        <f t="shared" si="6"/>
        <v>Ohio (OH)</v>
      </c>
      <c r="AQ37" s="475" t="s">
        <v>380</v>
      </c>
      <c r="AR37" s="476" t="s">
        <v>381</v>
      </c>
      <c r="BI37" s="264" t="str">
        <f t="shared" si="3"/>
        <v>9  |  9</v>
      </c>
      <c r="BJ37" s="507">
        <v>9</v>
      </c>
      <c r="BK37" s="487" t="str">
        <f t="shared" si="2"/>
        <v>9</v>
      </c>
    </row>
    <row r="38" spans="1:63" ht="45" customHeight="1" x14ac:dyDescent="0.55000000000000004">
      <c r="A38" s="573"/>
      <c r="B38" s="475"/>
      <c r="C38" s="475"/>
      <c r="D38" s="574"/>
      <c r="E38" s="574"/>
      <c r="F38" s="574"/>
      <c r="G38" s="574"/>
      <c r="H38" s="574"/>
      <c r="I38" s="574"/>
      <c r="J38" s="574"/>
      <c r="K38" s="574"/>
      <c r="L38" s="574"/>
      <c r="M38" s="574"/>
      <c r="N38" s="475"/>
      <c r="O38" s="475"/>
      <c r="P38" s="475"/>
      <c r="Q38" s="475"/>
      <c r="R38" s="574"/>
      <c r="S38" s="475"/>
      <c r="T38" s="574"/>
      <c r="U38" s="574"/>
      <c r="V38" s="475"/>
      <c r="W38" s="574"/>
      <c r="X38" s="574"/>
      <c r="Y38" s="475"/>
      <c r="Z38" s="574"/>
      <c r="AA38" s="574"/>
      <c r="AB38" s="574"/>
      <c r="AC38" s="575"/>
      <c r="AD38" s="575"/>
      <c r="AE38" s="575"/>
      <c r="AF38" s="575"/>
      <c r="AG38" s="575"/>
      <c r="AH38" s="575"/>
      <c r="AI38" s="575"/>
      <c r="AJ38" s="575"/>
      <c r="AK38" s="575"/>
      <c r="AL38" s="575"/>
      <c r="AM38" s="575"/>
      <c r="AN38" s="575"/>
      <c r="AO38" s="577"/>
      <c r="AP38" s="474" t="str">
        <f t="shared" si="6"/>
        <v>Oklahoma (OK)</v>
      </c>
      <c r="AQ38" s="475" t="s">
        <v>382</v>
      </c>
      <c r="AR38" s="476" t="s">
        <v>383</v>
      </c>
      <c r="BI38" s="264" t="str">
        <f t="shared" si="3"/>
        <v>&lt;  |  ,</v>
      </c>
      <c r="BJ38" s="507" t="s">
        <v>209</v>
      </c>
      <c r="BK38" s="487" t="s">
        <v>212</v>
      </c>
    </row>
    <row r="39" spans="1:63" ht="45" customHeight="1" x14ac:dyDescent="0.55000000000000004">
      <c r="A39" s="573"/>
      <c r="B39" s="475"/>
      <c r="C39" s="475"/>
      <c r="D39" s="574"/>
      <c r="E39" s="574"/>
      <c r="F39" s="574"/>
      <c r="G39" s="574"/>
      <c r="H39" s="574"/>
      <c r="I39" s="574"/>
      <c r="J39" s="574"/>
      <c r="K39" s="574"/>
      <c r="L39" s="574"/>
      <c r="M39" s="574"/>
      <c r="N39" s="475"/>
      <c r="O39" s="475"/>
      <c r="P39" s="475"/>
      <c r="Q39" s="475"/>
      <c r="R39" s="574"/>
      <c r="S39" s="475"/>
      <c r="T39" s="574"/>
      <c r="U39" s="574"/>
      <c r="V39" s="475"/>
      <c r="W39" s="574"/>
      <c r="X39" s="574"/>
      <c r="Y39" s="475"/>
      <c r="Z39" s="574"/>
      <c r="AA39" s="574"/>
      <c r="AB39" s="574"/>
      <c r="AC39" s="575"/>
      <c r="AD39" s="575"/>
      <c r="AE39" s="575"/>
      <c r="AF39" s="575"/>
      <c r="AG39" s="575"/>
      <c r="AH39" s="575"/>
      <c r="AI39" s="575"/>
      <c r="AJ39" s="575"/>
      <c r="AK39" s="575"/>
      <c r="AL39" s="575"/>
      <c r="AM39" s="575"/>
      <c r="AN39" s="575"/>
      <c r="AO39" s="577"/>
      <c r="AP39" s="474" t="str">
        <f t="shared" si="6"/>
        <v>Oregon (OR)</v>
      </c>
      <c r="AQ39" s="475" t="s">
        <v>384</v>
      </c>
      <c r="AR39" s="476" t="s">
        <v>385</v>
      </c>
      <c r="BI39" s="264" t="str">
        <f t="shared" si="3"/>
        <v>&gt;  |  .</v>
      </c>
      <c r="BJ39" s="507" t="s">
        <v>208</v>
      </c>
      <c r="BK39" s="487" t="s">
        <v>205</v>
      </c>
    </row>
    <row r="40" spans="1:63" ht="45" customHeight="1" x14ac:dyDescent="0.55000000000000004">
      <c r="A40" s="573"/>
      <c r="B40" s="475"/>
      <c r="C40" s="475"/>
      <c r="D40" s="574"/>
      <c r="E40" s="574"/>
      <c r="F40" s="574"/>
      <c r="G40" s="574"/>
      <c r="H40" s="574"/>
      <c r="I40" s="574"/>
      <c r="J40" s="574"/>
      <c r="K40" s="574"/>
      <c r="L40" s="574"/>
      <c r="M40" s="574"/>
      <c r="N40" s="475"/>
      <c r="O40" s="475"/>
      <c r="P40" s="475"/>
      <c r="Q40" s="475"/>
      <c r="R40" s="574"/>
      <c r="S40" s="475"/>
      <c r="T40" s="574"/>
      <c r="U40" s="574"/>
      <c r="V40" s="475"/>
      <c r="W40" s="574"/>
      <c r="X40" s="574"/>
      <c r="Y40" s="475"/>
      <c r="Z40" s="574"/>
      <c r="AA40" s="574"/>
      <c r="AB40" s="574"/>
      <c r="AC40" s="575"/>
      <c r="AD40" s="575"/>
      <c r="AE40" s="575"/>
      <c r="AF40" s="575"/>
      <c r="AG40" s="575"/>
      <c r="AH40" s="575"/>
      <c r="AI40" s="575"/>
      <c r="AJ40" s="575"/>
      <c r="AK40" s="575"/>
      <c r="AL40" s="575"/>
      <c r="AM40" s="575"/>
      <c r="AN40" s="575"/>
      <c r="AO40" s="577"/>
      <c r="AP40" s="474" t="str">
        <f t="shared" si="6"/>
        <v>Pennsylvania (PA)</v>
      </c>
      <c r="AQ40" s="475" t="s">
        <v>386</v>
      </c>
      <c r="AR40" s="476" t="s">
        <v>387</v>
      </c>
      <c r="BI40" s="264" t="str">
        <f t="shared" si="3"/>
        <v>?  |  /</v>
      </c>
      <c r="BJ40" s="507" t="s">
        <v>166</v>
      </c>
      <c r="BK40" s="487" t="s">
        <v>207</v>
      </c>
    </row>
    <row r="41" spans="1:63" ht="45" customHeight="1" x14ac:dyDescent="0.55000000000000004">
      <c r="A41" s="573"/>
      <c r="B41" s="475"/>
      <c r="C41" s="475"/>
      <c r="D41" s="574"/>
      <c r="E41" s="574"/>
      <c r="F41" s="574"/>
      <c r="G41" s="574"/>
      <c r="H41" s="574"/>
      <c r="I41" s="574"/>
      <c r="J41" s="574"/>
      <c r="K41" s="574"/>
      <c r="L41" s="574"/>
      <c r="M41" s="574"/>
      <c r="N41" s="475"/>
      <c r="O41" s="475"/>
      <c r="P41" s="475"/>
      <c r="Q41" s="475"/>
      <c r="R41" s="574"/>
      <c r="S41" s="475"/>
      <c r="T41" s="574"/>
      <c r="U41" s="574"/>
      <c r="V41" s="475"/>
      <c r="W41" s="574"/>
      <c r="X41" s="574"/>
      <c r="Y41" s="475"/>
      <c r="Z41" s="574"/>
      <c r="AA41" s="574"/>
      <c r="AB41" s="574"/>
      <c r="AC41" s="575"/>
      <c r="AD41" s="575"/>
      <c r="AE41" s="575"/>
      <c r="AF41" s="575"/>
      <c r="AG41" s="575"/>
      <c r="AH41" s="575"/>
      <c r="AI41" s="575"/>
      <c r="AJ41" s="575"/>
      <c r="AK41" s="575"/>
      <c r="AL41" s="575"/>
      <c r="AM41" s="575"/>
      <c r="AN41" s="575"/>
      <c r="AO41" s="577"/>
      <c r="AP41" s="474" t="str">
        <f t="shared" si="6"/>
        <v>Rhode Island (RI)</v>
      </c>
      <c r="AQ41" s="475" t="s">
        <v>388</v>
      </c>
      <c r="AR41" s="476" t="s">
        <v>389</v>
      </c>
      <c r="BI41" s="264" t="str">
        <f t="shared" si="3"/>
        <v>:  |  ;</v>
      </c>
      <c r="BJ41" s="507" t="s">
        <v>206</v>
      </c>
      <c r="BK41" s="487" t="s">
        <v>175</v>
      </c>
    </row>
    <row r="42" spans="1:63" ht="45" customHeight="1" x14ac:dyDescent="0.55000000000000004">
      <c r="A42" s="573"/>
      <c r="B42" s="475"/>
      <c r="C42" s="475"/>
      <c r="D42" s="574"/>
      <c r="E42" s="574"/>
      <c r="F42" s="574"/>
      <c r="G42" s="574"/>
      <c r="H42" s="574"/>
      <c r="I42" s="574"/>
      <c r="J42" s="574"/>
      <c r="K42" s="574"/>
      <c r="L42" s="574"/>
      <c r="M42" s="574"/>
      <c r="N42" s="475"/>
      <c r="O42" s="475"/>
      <c r="P42" s="475"/>
      <c r="Q42" s="475"/>
      <c r="R42" s="574"/>
      <c r="S42" s="475"/>
      <c r="T42" s="574"/>
      <c r="U42" s="574"/>
      <c r="V42" s="475"/>
      <c r="W42" s="574"/>
      <c r="X42" s="574"/>
      <c r="Y42" s="475"/>
      <c r="Z42" s="574"/>
      <c r="AA42" s="574"/>
      <c r="AB42" s="574"/>
      <c r="AC42" s="575"/>
      <c r="AD42" s="575"/>
      <c r="AE42" s="575"/>
      <c r="AF42" s="575"/>
      <c r="AG42" s="575"/>
      <c r="AH42" s="575"/>
      <c r="AI42" s="575"/>
      <c r="AJ42" s="575"/>
      <c r="AK42" s="575"/>
      <c r="AL42" s="575"/>
      <c r="AM42" s="575"/>
      <c r="AN42" s="575"/>
      <c r="AO42" s="577"/>
      <c r="AP42" s="474" t="str">
        <f t="shared" si="6"/>
        <v>South Carolina (SC)</v>
      </c>
      <c r="AQ42" s="475" t="s">
        <v>390</v>
      </c>
      <c r="AR42" s="476" t="s">
        <v>13</v>
      </c>
      <c r="BI42" s="264" t="str">
        <f t="shared" si="3"/>
        <v xml:space="preserve">"  |   ' </v>
      </c>
      <c r="BJ42" s="507" t="s">
        <v>135</v>
      </c>
      <c r="BK42" s="590" t="str">
        <f>_xlfn.CONCAT(" ' ")</f>
        <v xml:space="preserve"> ' </v>
      </c>
    </row>
    <row r="43" spans="1:63" ht="45" customHeight="1" x14ac:dyDescent="0.55000000000000004">
      <c r="A43" s="573"/>
      <c r="B43" s="475"/>
      <c r="C43" s="475"/>
      <c r="D43" s="574"/>
      <c r="E43" s="574"/>
      <c r="F43" s="574"/>
      <c r="G43" s="574"/>
      <c r="H43" s="574"/>
      <c r="I43" s="574"/>
      <c r="J43" s="574"/>
      <c r="K43" s="574"/>
      <c r="L43" s="574"/>
      <c r="M43" s="574"/>
      <c r="N43" s="475"/>
      <c r="O43" s="475"/>
      <c r="P43" s="475"/>
      <c r="Q43" s="475"/>
      <c r="R43" s="574"/>
      <c r="S43" s="475"/>
      <c r="T43" s="574"/>
      <c r="U43" s="574"/>
      <c r="V43" s="475"/>
      <c r="W43" s="574"/>
      <c r="X43" s="574"/>
      <c r="Y43" s="475"/>
      <c r="Z43" s="574"/>
      <c r="AA43" s="574"/>
      <c r="AB43" s="574"/>
      <c r="AC43" s="575"/>
      <c r="AD43" s="575"/>
      <c r="AE43" s="575"/>
      <c r="AF43" s="575"/>
      <c r="AG43" s="575"/>
      <c r="AH43" s="575"/>
      <c r="AI43" s="575"/>
      <c r="AJ43" s="575"/>
      <c r="AK43" s="575"/>
      <c r="AL43" s="575"/>
      <c r="AM43" s="575"/>
      <c r="AN43" s="575"/>
      <c r="AO43" s="577"/>
      <c r="AP43" s="474" t="str">
        <f t="shared" si="6"/>
        <v>South Dakota (SD)</v>
      </c>
      <c r="AQ43" s="475" t="s">
        <v>391</v>
      </c>
      <c r="AR43" s="476" t="s">
        <v>392</v>
      </c>
      <c r="BI43" s="264" t="str">
        <f t="shared" si="3"/>
        <v>{  |  [</v>
      </c>
      <c r="BJ43" s="507" t="s">
        <v>216</v>
      </c>
      <c r="BK43" s="487" t="s">
        <v>163</v>
      </c>
    </row>
    <row r="44" spans="1:63" ht="45" customHeight="1" x14ac:dyDescent="0.55000000000000004">
      <c r="A44" s="573"/>
      <c r="B44" s="475"/>
      <c r="C44" s="475"/>
      <c r="D44" s="574"/>
      <c r="E44" s="574"/>
      <c r="F44" s="574"/>
      <c r="G44" s="574"/>
      <c r="H44" s="574"/>
      <c r="I44" s="574"/>
      <c r="J44" s="574"/>
      <c r="K44" s="574"/>
      <c r="L44" s="574"/>
      <c r="M44" s="574"/>
      <c r="N44" s="475"/>
      <c r="O44" s="475"/>
      <c r="P44" s="475"/>
      <c r="Q44" s="475"/>
      <c r="R44" s="574"/>
      <c r="S44" s="475"/>
      <c r="T44" s="574"/>
      <c r="U44" s="574"/>
      <c r="V44" s="475"/>
      <c r="W44" s="574"/>
      <c r="X44" s="574"/>
      <c r="Y44" s="475"/>
      <c r="Z44" s="574"/>
      <c r="AA44" s="574"/>
      <c r="AB44" s="574"/>
      <c r="AC44" s="575"/>
      <c r="AD44" s="575"/>
      <c r="AE44" s="575"/>
      <c r="AF44" s="575"/>
      <c r="AG44" s="575"/>
      <c r="AH44" s="575"/>
      <c r="AI44" s="575"/>
      <c r="AJ44" s="575"/>
      <c r="AK44" s="575"/>
      <c r="AL44" s="575"/>
      <c r="AM44" s="575"/>
      <c r="AN44" s="575"/>
      <c r="AO44" s="577"/>
      <c r="AP44" s="474" t="str">
        <f t="shared" si="6"/>
        <v>Tennessee (TN)</v>
      </c>
      <c r="AQ44" s="475" t="s">
        <v>393</v>
      </c>
      <c r="AR44" s="476" t="s">
        <v>394</v>
      </c>
      <c r="BI44" s="264" t="str">
        <f t="shared" si="3"/>
        <v>}  |  ]</v>
      </c>
      <c r="BJ44" s="507" t="s">
        <v>215</v>
      </c>
      <c r="BK44" s="487" t="s">
        <v>202</v>
      </c>
    </row>
    <row r="45" spans="1:63" ht="45" customHeight="1" x14ac:dyDescent="0.55000000000000004">
      <c r="A45" s="573"/>
      <c r="B45" s="475"/>
      <c r="C45" s="475"/>
      <c r="D45" s="574"/>
      <c r="E45" s="574"/>
      <c r="F45" s="574"/>
      <c r="G45" s="574"/>
      <c r="H45" s="574"/>
      <c r="I45" s="574"/>
      <c r="J45" s="574"/>
      <c r="K45" s="574"/>
      <c r="L45" s="574"/>
      <c r="M45" s="574"/>
      <c r="N45" s="475"/>
      <c r="O45" s="475"/>
      <c r="P45" s="475"/>
      <c r="Q45" s="475"/>
      <c r="R45" s="574"/>
      <c r="S45" s="475"/>
      <c r="T45" s="574"/>
      <c r="U45" s="574"/>
      <c r="V45" s="475"/>
      <c r="W45" s="574"/>
      <c r="X45" s="574"/>
      <c r="Y45" s="475"/>
      <c r="Z45" s="574"/>
      <c r="AA45" s="574"/>
      <c r="AB45" s="574"/>
      <c r="AC45" s="575"/>
      <c r="AD45" s="575"/>
      <c r="AE45" s="575"/>
      <c r="AF45" s="575"/>
      <c r="AG45" s="575"/>
      <c r="AH45" s="575"/>
      <c r="AI45" s="575"/>
      <c r="AJ45" s="575"/>
      <c r="AK45" s="575"/>
      <c r="AL45" s="575"/>
      <c r="AM45" s="575"/>
      <c r="AN45" s="575"/>
      <c r="AO45" s="577"/>
      <c r="AP45" s="474" t="str">
        <f t="shared" si="6"/>
        <v>Texas (TX)</v>
      </c>
      <c r="AQ45" s="475" t="s">
        <v>395</v>
      </c>
      <c r="AR45" s="476" t="s">
        <v>396</v>
      </c>
      <c r="BI45" s="264" t="str">
        <f t="shared" si="3"/>
        <v>|  |  \</v>
      </c>
      <c r="BJ45" s="507" t="s">
        <v>211</v>
      </c>
      <c r="BK45" s="487" t="s">
        <v>178</v>
      </c>
    </row>
    <row r="46" spans="1:63" ht="45" customHeight="1" x14ac:dyDescent="0.55000000000000004">
      <c r="A46" s="573"/>
      <c r="B46" s="475"/>
      <c r="C46" s="475"/>
      <c r="D46" s="574"/>
      <c r="E46" s="574"/>
      <c r="F46" s="574"/>
      <c r="G46" s="574"/>
      <c r="H46" s="574"/>
      <c r="I46" s="574"/>
      <c r="J46" s="574"/>
      <c r="K46" s="574"/>
      <c r="L46" s="574"/>
      <c r="M46" s="574"/>
      <c r="N46" s="475"/>
      <c r="O46" s="475"/>
      <c r="P46" s="475"/>
      <c r="Q46" s="475"/>
      <c r="R46" s="574"/>
      <c r="S46" s="475"/>
      <c r="T46" s="574"/>
      <c r="U46" s="574"/>
      <c r="V46" s="475"/>
      <c r="W46" s="574"/>
      <c r="X46" s="574"/>
      <c r="Y46" s="475"/>
      <c r="Z46" s="574"/>
      <c r="AA46" s="574"/>
      <c r="AB46" s="574"/>
      <c r="AC46" s="575"/>
      <c r="AD46" s="575"/>
      <c r="AE46" s="575"/>
      <c r="AF46" s="575"/>
      <c r="AG46" s="575"/>
      <c r="AH46" s="575"/>
      <c r="AI46" s="575"/>
      <c r="AJ46" s="575"/>
      <c r="AK46" s="575"/>
      <c r="AL46" s="575"/>
      <c r="AM46" s="575"/>
      <c r="AN46" s="575"/>
      <c r="AO46" s="577"/>
      <c r="AP46" s="474" t="str">
        <f t="shared" si="6"/>
        <v>Utah (UT)</v>
      </c>
      <c r="AQ46" s="475" t="s">
        <v>397</v>
      </c>
      <c r="AR46" s="476" t="s">
        <v>398</v>
      </c>
      <c r="BI46" s="264" t="str">
        <f t="shared" si="3"/>
        <v>!  |  @</v>
      </c>
      <c r="BJ46" s="507" t="s">
        <v>203</v>
      </c>
      <c r="BK46" s="487" t="s">
        <v>204</v>
      </c>
    </row>
    <row r="47" spans="1:63" ht="45" customHeight="1" x14ac:dyDescent="0.55000000000000004">
      <c r="A47" s="573"/>
      <c r="B47" s="475"/>
      <c r="C47" s="475"/>
      <c r="D47" s="574"/>
      <c r="E47" s="574"/>
      <c r="F47" s="574"/>
      <c r="G47" s="574"/>
      <c r="H47" s="574"/>
      <c r="I47" s="574"/>
      <c r="J47" s="574"/>
      <c r="K47" s="574"/>
      <c r="L47" s="574"/>
      <c r="M47" s="574"/>
      <c r="N47" s="475"/>
      <c r="O47" s="475"/>
      <c r="P47" s="475"/>
      <c r="Q47" s="475"/>
      <c r="R47" s="574"/>
      <c r="S47" s="475"/>
      <c r="T47" s="574"/>
      <c r="U47" s="574"/>
      <c r="V47" s="475"/>
      <c r="W47" s="574"/>
      <c r="X47" s="574"/>
      <c r="Y47" s="475"/>
      <c r="Z47" s="574"/>
      <c r="AA47" s="574"/>
      <c r="AB47" s="574"/>
      <c r="AC47" s="575"/>
      <c r="AD47" s="575"/>
      <c r="AE47" s="575"/>
      <c r="AF47" s="575"/>
      <c r="AG47" s="575"/>
      <c r="AH47" s="575"/>
      <c r="AI47" s="575"/>
      <c r="AJ47" s="575"/>
      <c r="AK47" s="575"/>
      <c r="AL47" s="575"/>
      <c r="AM47" s="575"/>
      <c r="AN47" s="575"/>
      <c r="AO47" s="577"/>
      <c r="AP47" s="474" t="str">
        <f t="shared" si="6"/>
        <v>Vermont (VT)</v>
      </c>
      <c r="AQ47" s="475" t="s">
        <v>399</v>
      </c>
      <c r="AR47" s="476" t="s">
        <v>400</v>
      </c>
      <c r="BI47" s="264" t="str">
        <f t="shared" si="3"/>
        <v>#  |  $</v>
      </c>
      <c r="BJ47" s="507" t="s">
        <v>196</v>
      </c>
      <c r="BK47" s="487" t="s">
        <v>214</v>
      </c>
    </row>
    <row r="48" spans="1:63" ht="45" customHeight="1" x14ac:dyDescent="0.55000000000000004">
      <c r="A48" s="573"/>
      <c r="B48" s="475"/>
      <c r="C48" s="475"/>
      <c r="D48" s="574"/>
      <c r="E48" s="574"/>
      <c r="F48" s="574"/>
      <c r="G48" s="574"/>
      <c r="H48" s="574"/>
      <c r="I48" s="574"/>
      <c r="J48" s="574"/>
      <c r="K48" s="574"/>
      <c r="L48" s="574"/>
      <c r="M48" s="574"/>
      <c r="N48" s="475"/>
      <c r="O48" s="475"/>
      <c r="P48" s="475"/>
      <c r="Q48" s="475"/>
      <c r="R48" s="574"/>
      <c r="S48" s="475"/>
      <c r="T48" s="574"/>
      <c r="U48" s="574"/>
      <c r="V48" s="475"/>
      <c r="W48" s="574"/>
      <c r="X48" s="574"/>
      <c r="Y48" s="475"/>
      <c r="Z48" s="574"/>
      <c r="AA48" s="574"/>
      <c r="AB48" s="574"/>
      <c r="AC48" s="575"/>
      <c r="AD48" s="575"/>
      <c r="AE48" s="575"/>
      <c r="AF48" s="575"/>
      <c r="AG48" s="575"/>
      <c r="AH48" s="575"/>
      <c r="AI48" s="575"/>
      <c r="AJ48" s="575"/>
      <c r="AK48" s="575"/>
      <c r="AL48" s="575"/>
      <c r="AM48" s="575"/>
      <c r="AN48" s="575"/>
      <c r="AO48" s="577"/>
      <c r="AP48" s="474" t="str">
        <f t="shared" si="6"/>
        <v>Virginia (VA)</v>
      </c>
      <c r="AQ48" s="475" t="s">
        <v>401</v>
      </c>
      <c r="AR48" s="476" t="s">
        <v>402</v>
      </c>
      <c r="BI48" s="264" t="str">
        <f t="shared" si="3"/>
        <v>%  |  ^</v>
      </c>
      <c r="BJ48" s="507" t="s">
        <v>210</v>
      </c>
      <c r="BK48" s="487" t="s">
        <v>200</v>
      </c>
    </row>
    <row r="49" spans="1:63" ht="45" customHeight="1" x14ac:dyDescent="0.55000000000000004">
      <c r="A49" s="573"/>
      <c r="B49" s="475"/>
      <c r="C49" s="475"/>
      <c r="D49" s="574"/>
      <c r="E49" s="574"/>
      <c r="F49" s="574"/>
      <c r="G49" s="574"/>
      <c r="H49" s="574"/>
      <c r="I49" s="574"/>
      <c r="J49" s="574"/>
      <c r="K49" s="574"/>
      <c r="L49" s="574"/>
      <c r="M49" s="574"/>
      <c r="N49" s="475"/>
      <c r="O49" s="475"/>
      <c r="P49" s="475"/>
      <c r="Q49" s="475"/>
      <c r="R49" s="574"/>
      <c r="S49" s="475"/>
      <c r="T49" s="574"/>
      <c r="U49" s="574"/>
      <c r="V49" s="475"/>
      <c r="W49" s="574"/>
      <c r="X49" s="574"/>
      <c r="Y49" s="475"/>
      <c r="Z49" s="574"/>
      <c r="AA49" s="574"/>
      <c r="AB49" s="574"/>
      <c r="AC49" s="575"/>
      <c r="AD49" s="575"/>
      <c r="AE49" s="575"/>
      <c r="AF49" s="575"/>
      <c r="AG49" s="575"/>
      <c r="AH49" s="575"/>
      <c r="AI49" s="575"/>
      <c r="AJ49" s="575"/>
      <c r="AK49" s="575"/>
      <c r="AL49" s="575"/>
      <c r="AM49" s="575"/>
      <c r="AN49" s="575"/>
      <c r="AO49" s="577"/>
      <c r="AP49" s="474" t="str">
        <f t="shared" si="6"/>
        <v>Washington (WA)</v>
      </c>
      <c r="AQ49" s="475" t="s">
        <v>403</v>
      </c>
      <c r="AR49" s="476" t="s">
        <v>404</v>
      </c>
      <c r="BI49" s="264" t="str">
        <f t="shared" si="3"/>
        <v>&amp;  |  *</v>
      </c>
      <c r="BJ49" s="507" t="s">
        <v>197</v>
      </c>
      <c r="BK49" s="487" t="s">
        <v>199</v>
      </c>
    </row>
    <row r="50" spans="1:63" ht="45" customHeight="1" x14ac:dyDescent="0.55000000000000004">
      <c r="A50" s="573"/>
      <c r="B50" s="475"/>
      <c r="C50" s="475"/>
      <c r="D50" s="574"/>
      <c r="E50" s="574"/>
      <c r="F50" s="574"/>
      <c r="G50" s="574"/>
      <c r="H50" s="574"/>
      <c r="I50" s="574"/>
      <c r="J50" s="574"/>
      <c r="K50" s="574"/>
      <c r="L50" s="574"/>
      <c r="M50" s="574"/>
      <c r="N50" s="475"/>
      <c r="O50" s="475"/>
      <c r="P50" s="475"/>
      <c r="Q50" s="475"/>
      <c r="R50" s="574"/>
      <c r="S50" s="475"/>
      <c r="T50" s="574"/>
      <c r="U50" s="574"/>
      <c r="V50" s="475"/>
      <c r="W50" s="574"/>
      <c r="X50" s="574"/>
      <c r="Y50" s="475"/>
      <c r="Z50" s="574"/>
      <c r="AA50" s="574"/>
      <c r="AB50" s="574"/>
      <c r="AC50" s="575"/>
      <c r="AD50" s="575"/>
      <c r="AE50" s="575"/>
      <c r="AF50" s="575"/>
      <c r="AG50" s="575"/>
      <c r="AH50" s="575"/>
      <c r="AI50" s="575"/>
      <c r="AJ50" s="575"/>
      <c r="AK50" s="575"/>
      <c r="AL50" s="575"/>
      <c r="AM50" s="575"/>
      <c r="AN50" s="575"/>
      <c r="AO50" s="577"/>
      <c r="AP50" s="474" t="str">
        <f t="shared" si="6"/>
        <v>Washington DC (DC)</v>
      </c>
      <c r="AQ50" s="475" t="s">
        <v>405</v>
      </c>
      <c r="AR50" s="476" t="s">
        <v>406</v>
      </c>
      <c r="BI50" s="264" t="str">
        <f t="shared" si="3"/>
        <v>(  |  )</v>
      </c>
      <c r="BJ50" s="507" t="s">
        <v>195</v>
      </c>
      <c r="BK50" s="487" t="s">
        <v>186</v>
      </c>
    </row>
    <row r="51" spans="1:63" ht="45" customHeight="1" x14ac:dyDescent="0.55000000000000004">
      <c r="A51" s="573"/>
      <c r="B51" s="475"/>
      <c r="C51" s="475"/>
      <c r="D51" s="574"/>
      <c r="E51" s="574"/>
      <c r="F51" s="574"/>
      <c r="G51" s="574"/>
      <c r="H51" s="574"/>
      <c r="I51" s="574"/>
      <c r="J51" s="574"/>
      <c r="K51" s="574"/>
      <c r="L51" s="574"/>
      <c r="M51" s="574"/>
      <c r="N51" s="475"/>
      <c r="O51" s="475"/>
      <c r="P51" s="475"/>
      <c r="Q51" s="475"/>
      <c r="R51" s="574"/>
      <c r="S51" s="475"/>
      <c r="T51" s="574"/>
      <c r="U51" s="574"/>
      <c r="V51" s="475"/>
      <c r="W51" s="574"/>
      <c r="X51" s="574"/>
      <c r="Y51" s="475"/>
      <c r="Z51" s="574"/>
      <c r="AA51" s="574"/>
      <c r="AB51" s="574"/>
      <c r="AC51" s="575"/>
      <c r="AD51" s="575"/>
      <c r="AE51" s="575"/>
      <c r="AF51" s="575"/>
      <c r="AG51" s="575"/>
      <c r="AH51" s="575"/>
      <c r="AI51" s="575"/>
      <c r="AJ51" s="575"/>
      <c r="AK51" s="575"/>
      <c r="AL51" s="575"/>
      <c r="AM51" s="575"/>
      <c r="AN51" s="575"/>
      <c r="AO51" s="577"/>
      <c r="AP51" s="474" t="str">
        <f t="shared" si="6"/>
        <v>West Virginia (WV)</v>
      </c>
      <c r="AQ51" s="475" t="s">
        <v>407</v>
      </c>
      <c r="AR51" s="476" t="s">
        <v>408</v>
      </c>
      <c r="BI51" s="264" t="str">
        <f t="shared" si="3"/>
        <v>_  |  -</v>
      </c>
      <c r="BJ51" s="507" t="s">
        <v>161</v>
      </c>
      <c r="BK51" s="487" t="s">
        <v>188</v>
      </c>
    </row>
    <row r="52" spans="1:63" ht="45" customHeight="1" x14ac:dyDescent="0.55000000000000004">
      <c r="A52" s="573"/>
      <c r="B52" s="475"/>
      <c r="C52" s="475"/>
      <c r="D52" s="574"/>
      <c r="E52" s="574"/>
      <c r="F52" s="574"/>
      <c r="G52" s="574"/>
      <c r="H52" s="574"/>
      <c r="I52" s="574"/>
      <c r="J52" s="574"/>
      <c r="K52" s="574"/>
      <c r="L52" s="574"/>
      <c r="M52" s="574"/>
      <c r="N52" s="475"/>
      <c r="O52" s="475"/>
      <c r="P52" s="475"/>
      <c r="Q52" s="475"/>
      <c r="R52" s="574"/>
      <c r="S52" s="475"/>
      <c r="T52" s="574"/>
      <c r="U52" s="574"/>
      <c r="V52" s="475"/>
      <c r="W52" s="574"/>
      <c r="X52" s="574"/>
      <c r="Y52" s="475"/>
      <c r="Z52" s="574"/>
      <c r="AA52" s="574"/>
      <c r="AB52" s="574"/>
      <c r="AC52" s="575"/>
      <c r="AD52" s="575"/>
      <c r="AE52" s="575"/>
      <c r="AF52" s="575"/>
      <c r="AG52" s="575"/>
      <c r="AH52" s="575"/>
      <c r="AI52" s="575"/>
      <c r="AJ52" s="575"/>
      <c r="AK52" s="575"/>
      <c r="AL52" s="575"/>
      <c r="AM52" s="575"/>
      <c r="AN52" s="575"/>
      <c r="AO52" s="577"/>
      <c r="AP52" s="474" t="str">
        <f t="shared" si="6"/>
        <v>Wisconsin (WI)</v>
      </c>
      <c r="AQ52" s="475" t="s">
        <v>409</v>
      </c>
      <c r="AR52" s="476" t="s">
        <v>410</v>
      </c>
      <c r="BI52" s="264" t="str">
        <f t="shared" si="3"/>
        <v>+  |  =</v>
      </c>
      <c r="BJ52" s="507" t="s">
        <v>201</v>
      </c>
      <c r="BK52" s="487" t="s">
        <v>213</v>
      </c>
    </row>
    <row r="53" spans="1:63" ht="45" customHeight="1" x14ac:dyDescent="0.55000000000000004">
      <c r="A53" s="573"/>
      <c r="B53" s="475"/>
      <c r="C53" s="475"/>
      <c r="D53" s="574"/>
      <c r="E53" s="574"/>
      <c r="F53" s="574"/>
      <c r="G53" s="574"/>
      <c r="H53" s="574"/>
      <c r="I53" s="574"/>
      <c r="J53" s="574"/>
      <c r="K53" s="574"/>
      <c r="L53" s="574"/>
      <c r="M53" s="574"/>
      <c r="N53" s="475"/>
      <c r="O53" s="475"/>
      <c r="P53" s="475"/>
      <c r="Q53" s="475"/>
      <c r="R53" s="574"/>
      <c r="S53" s="475"/>
      <c r="T53" s="574"/>
      <c r="U53" s="574"/>
      <c r="V53" s="475"/>
      <c r="W53" s="574"/>
      <c r="X53" s="574"/>
      <c r="Y53" s="475"/>
      <c r="Z53" s="574"/>
      <c r="AA53" s="574"/>
      <c r="AB53" s="574"/>
      <c r="AC53" s="575"/>
      <c r="AD53" s="575"/>
      <c r="AE53" s="575"/>
      <c r="AF53" s="575"/>
      <c r="AG53" s="575"/>
      <c r="AH53" s="575"/>
      <c r="AI53" s="575"/>
      <c r="AJ53" s="575"/>
      <c r="AK53" s="575"/>
      <c r="AL53" s="575"/>
      <c r="AM53" s="575"/>
      <c r="AN53" s="575"/>
      <c r="AO53" s="577"/>
      <c r="AP53" s="474" t="str">
        <f t="shared" si="6"/>
        <v>Wyoming (WY)</v>
      </c>
      <c r="AQ53" s="475" t="s">
        <v>411</v>
      </c>
      <c r="AR53" s="476" t="s">
        <v>412</v>
      </c>
      <c r="BI53" s="264" t="str">
        <f t="shared" si="3"/>
        <v>~  |  `</v>
      </c>
      <c r="BJ53" s="507" t="s">
        <v>217</v>
      </c>
      <c r="BK53" s="487" t="s">
        <v>198</v>
      </c>
    </row>
    <row r="54" spans="1:63" ht="45" customHeight="1" x14ac:dyDescent="0.55000000000000004">
      <c r="A54" s="573"/>
      <c r="B54" s="475"/>
      <c r="C54" s="475"/>
      <c r="D54" s="574"/>
      <c r="E54" s="574"/>
      <c r="F54" s="574"/>
      <c r="G54" s="574"/>
      <c r="H54" s="574"/>
      <c r="I54" s="574"/>
      <c r="J54" s="574"/>
      <c r="K54" s="574"/>
      <c r="L54" s="574"/>
      <c r="M54" s="574"/>
      <c r="N54" s="475"/>
      <c r="O54" s="475"/>
      <c r="P54" s="475"/>
      <c r="Q54" s="475"/>
      <c r="R54" s="574"/>
      <c r="S54" s="475"/>
      <c r="T54" s="574"/>
      <c r="U54" s="574"/>
      <c r="V54" s="475"/>
      <c r="W54" s="574"/>
      <c r="X54" s="574"/>
      <c r="Y54" s="475"/>
      <c r="Z54" s="574"/>
      <c r="AA54" s="574"/>
      <c r="AB54" s="574"/>
      <c r="AC54" s="575"/>
      <c r="AD54" s="575"/>
      <c r="AE54" s="575"/>
      <c r="AF54" s="575"/>
      <c r="AG54" s="575"/>
      <c r="AH54" s="575"/>
      <c r="AI54" s="575"/>
      <c r="AJ54" s="575"/>
      <c r="AK54" s="575"/>
      <c r="AL54" s="575"/>
      <c r="AM54" s="575"/>
      <c r="AN54" s="575"/>
      <c r="AO54" s="577"/>
      <c r="AP54" s="474" t="str">
        <f>_xlfn.CONCAT(""&amp;(AQ54)&amp;" ("&amp;AR54&amp;")")</f>
        <v>British Virgin Islands (BVI)</v>
      </c>
      <c r="AQ54" s="475" t="s">
        <v>413</v>
      </c>
      <c r="AR54" s="476" t="s">
        <v>414</v>
      </c>
      <c r="BI54" s="15" t="s">
        <v>415</v>
      </c>
      <c r="BJ54" s="591" t="s">
        <v>416</v>
      </c>
    </row>
    <row r="55" spans="1:63" ht="45" customHeight="1" x14ac:dyDescent="0.55000000000000004">
      <c r="A55" s="573"/>
      <c r="B55" s="475"/>
      <c r="C55" s="475"/>
      <c r="D55" s="574"/>
      <c r="E55" s="574"/>
      <c r="F55" s="574"/>
      <c r="G55" s="574"/>
      <c r="H55" s="574"/>
      <c r="I55" s="574"/>
      <c r="J55" s="574"/>
      <c r="K55" s="574"/>
      <c r="L55" s="574"/>
      <c r="M55" s="574"/>
      <c r="N55" s="475"/>
      <c r="O55" s="475"/>
      <c r="P55" s="475"/>
      <c r="Q55" s="475"/>
      <c r="R55" s="574"/>
      <c r="S55" s="475"/>
      <c r="T55" s="574"/>
      <c r="U55" s="574"/>
      <c r="V55" s="475"/>
      <c r="W55" s="574"/>
      <c r="X55" s="574"/>
      <c r="Y55" s="475"/>
      <c r="Z55" s="574"/>
      <c r="AA55" s="574"/>
      <c r="AB55" s="574"/>
      <c r="AC55" s="575"/>
      <c r="AD55" s="575"/>
      <c r="AE55" s="575"/>
      <c r="AF55" s="575"/>
      <c r="AG55" s="575"/>
      <c r="AH55" s="575"/>
      <c r="AI55" s="575"/>
      <c r="AJ55" s="575"/>
      <c r="AK55" s="575"/>
      <c r="AL55" s="575"/>
      <c r="AM55" s="575"/>
      <c r="AN55" s="575"/>
      <c r="AO55" s="577"/>
      <c r="AP55" s="474" t="s">
        <v>266</v>
      </c>
      <c r="AQ55" s="475"/>
      <c r="AR55" s="476"/>
      <c r="BI55" s="15" t="s">
        <v>417</v>
      </c>
      <c r="BJ55" s="593" t="str">
        <f>_xlfn.UNICHAR(9745)</f>
        <v>☑</v>
      </c>
    </row>
    <row r="56" spans="1:63" ht="45" customHeight="1" x14ac:dyDescent="0.55000000000000004">
      <c r="A56" s="573"/>
      <c r="B56" s="475"/>
      <c r="C56" s="475"/>
      <c r="D56" s="574"/>
      <c r="E56" s="574"/>
      <c r="F56" s="574"/>
      <c r="G56" s="574"/>
      <c r="H56" s="574"/>
      <c r="I56" s="574"/>
      <c r="J56" s="574"/>
      <c r="K56" s="574"/>
      <c r="L56" s="574"/>
      <c r="M56" s="574"/>
      <c r="N56" s="475"/>
      <c r="O56" s="475"/>
      <c r="P56" s="475"/>
      <c r="Q56" s="475"/>
      <c r="R56" s="574"/>
      <c r="S56" s="475"/>
      <c r="T56" s="574"/>
      <c r="U56" s="574"/>
      <c r="V56" s="475"/>
      <c r="W56" s="574"/>
      <c r="X56" s="574"/>
      <c r="Y56" s="475"/>
      <c r="Z56" s="574"/>
      <c r="AA56" s="574"/>
      <c r="AB56" s="574"/>
      <c r="AC56" s="575"/>
      <c r="AD56" s="575"/>
      <c r="AE56" s="575"/>
      <c r="AF56" s="575"/>
      <c r="AG56" s="575"/>
      <c r="AH56" s="575"/>
      <c r="AI56" s="575"/>
      <c r="AJ56" s="575"/>
      <c r="AK56" s="575"/>
      <c r="AL56" s="575"/>
      <c r="AM56" s="575"/>
      <c r="AN56" s="575"/>
      <c r="AO56" s="594"/>
    </row>
    <row r="57" spans="1:63" ht="45" customHeight="1" x14ac:dyDescent="0.55000000000000004">
      <c r="A57" s="573"/>
      <c r="B57" s="475"/>
      <c r="C57" s="475"/>
      <c r="D57" s="574"/>
      <c r="E57" s="574"/>
      <c r="F57" s="574"/>
      <c r="G57" s="574"/>
      <c r="H57" s="574"/>
      <c r="I57" s="574"/>
      <c r="J57" s="574"/>
      <c r="K57" s="574"/>
      <c r="L57" s="574"/>
      <c r="M57" s="574"/>
      <c r="N57" s="475"/>
      <c r="O57" s="475"/>
      <c r="P57" s="475"/>
      <c r="Q57" s="475"/>
      <c r="R57" s="574"/>
      <c r="S57" s="475"/>
      <c r="T57" s="574"/>
      <c r="U57" s="574"/>
      <c r="V57" s="475"/>
      <c r="W57" s="574"/>
      <c r="X57" s="574"/>
      <c r="Y57" s="475"/>
      <c r="Z57" s="574"/>
      <c r="AA57" s="574"/>
      <c r="AB57" s="574"/>
      <c r="AC57" s="575"/>
      <c r="AD57" s="575"/>
      <c r="AE57" s="575"/>
      <c r="AF57" s="575"/>
      <c r="AG57" s="575"/>
      <c r="AH57" s="575"/>
      <c r="AI57" s="575"/>
      <c r="AJ57" s="575"/>
      <c r="AK57" s="575"/>
      <c r="AL57" s="575"/>
      <c r="AM57" s="575"/>
      <c r="AN57" s="575"/>
      <c r="AO57" s="594"/>
    </row>
    <row r="58" spans="1:63" ht="45" customHeight="1" x14ac:dyDescent="0.55000000000000004">
      <c r="A58" s="573"/>
      <c r="B58" s="475"/>
      <c r="C58" s="475"/>
      <c r="D58" s="574"/>
      <c r="E58" s="574"/>
      <c r="F58" s="574"/>
      <c r="G58" s="574"/>
      <c r="H58" s="574"/>
      <c r="I58" s="574"/>
      <c r="J58" s="574"/>
      <c r="K58" s="574"/>
      <c r="L58" s="574"/>
      <c r="M58" s="574"/>
      <c r="N58" s="475"/>
      <c r="O58" s="475"/>
      <c r="P58" s="475"/>
      <c r="Q58" s="475"/>
      <c r="R58" s="574"/>
      <c r="S58" s="475"/>
      <c r="T58" s="574"/>
      <c r="U58" s="574"/>
      <c r="V58" s="475"/>
      <c r="W58" s="574"/>
      <c r="X58" s="574"/>
      <c r="Y58" s="475"/>
      <c r="Z58" s="574"/>
      <c r="AA58" s="574"/>
      <c r="AB58" s="574"/>
      <c r="AC58" s="575"/>
      <c r="AD58" s="575"/>
      <c r="AE58" s="575"/>
      <c r="AF58" s="575"/>
      <c r="AG58" s="575"/>
      <c r="AH58" s="575"/>
      <c r="AI58" s="575"/>
      <c r="AJ58" s="575"/>
      <c r="AK58" s="575"/>
      <c r="AL58" s="575"/>
      <c r="AM58" s="575"/>
      <c r="AN58" s="575"/>
      <c r="AO58" s="594"/>
    </row>
    <row r="59" spans="1:63" ht="45" customHeight="1" x14ac:dyDescent="0.55000000000000004">
      <c r="A59" s="573"/>
      <c r="B59" s="475"/>
      <c r="C59" s="475"/>
      <c r="D59" s="574"/>
      <c r="E59" s="574"/>
      <c r="F59" s="574"/>
      <c r="G59" s="574"/>
      <c r="H59" s="574"/>
      <c r="I59" s="574"/>
      <c r="J59" s="574"/>
      <c r="K59" s="574"/>
      <c r="L59" s="574"/>
      <c r="M59" s="574"/>
      <c r="N59" s="475"/>
      <c r="O59" s="475"/>
      <c r="P59" s="475"/>
      <c r="Q59" s="475"/>
      <c r="R59" s="574"/>
      <c r="S59" s="475"/>
      <c r="T59" s="574"/>
      <c r="U59" s="574"/>
      <c r="V59" s="475"/>
      <c r="W59" s="574"/>
      <c r="X59" s="574"/>
      <c r="Y59" s="475"/>
      <c r="Z59" s="574"/>
      <c r="AA59" s="574"/>
      <c r="AB59" s="574"/>
      <c r="AC59" s="575"/>
      <c r="AD59" s="575"/>
      <c r="AE59" s="575"/>
      <c r="AF59" s="575"/>
      <c r="AG59" s="575"/>
      <c r="AH59" s="575"/>
      <c r="AI59" s="575"/>
      <c r="AJ59" s="575"/>
      <c r="AK59" s="575"/>
      <c r="AL59" s="575"/>
      <c r="AM59" s="575"/>
      <c r="AN59" s="575"/>
      <c r="AO59" s="594"/>
    </row>
    <row r="60" spans="1:63" ht="45" customHeight="1" x14ac:dyDescent="0.55000000000000004">
      <c r="A60" s="573"/>
      <c r="B60" s="475"/>
      <c r="C60" s="475"/>
      <c r="D60" s="574"/>
      <c r="E60" s="574"/>
      <c r="F60" s="574"/>
      <c r="G60" s="574"/>
      <c r="H60" s="574"/>
      <c r="I60" s="574"/>
      <c r="J60" s="574"/>
      <c r="K60" s="574"/>
      <c r="L60" s="574"/>
      <c r="M60" s="574"/>
      <c r="N60" s="475"/>
      <c r="O60" s="475"/>
      <c r="P60" s="475"/>
      <c r="Q60" s="475"/>
      <c r="R60" s="574"/>
      <c r="S60" s="475"/>
      <c r="T60" s="574"/>
      <c r="U60" s="574"/>
      <c r="V60" s="475"/>
      <c r="W60" s="574"/>
      <c r="X60" s="574"/>
      <c r="Y60" s="475"/>
      <c r="Z60" s="574"/>
      <c r="AA60" s="574"/>
      <c r="AB60" s="574"/>
      <c r="AC60" s="575"/>
      <c r="AD60" s="575"/>
      <c r="AE60" s="575"/>
      <c r="AF60" s="575"/>
      <c r="AG60" s="575"/>
      <c r="AH60" s="575"/>
      <c r="AI60" s="575"/>
      <c r="AJ60" s="575"/>
      <c r="AK60" s="575"/>
      <c r="AL60" s="575"/>
      <c r="AM60" s="575"/>
      <c r="AN60" s="575"/>
      <c r="AO60" s="594"/>
    </row>
    <row r="61" spans="1:63" ht="45" customHeight="1" x14ac:dyDescent="0.55000000000000004">
      <c r="A61" s="573"/>
      <c r="B61" s="475"/>
      <c r="C61" s="475"/>
      <c r="D61" s="574"/>
      <c r="E61" s="574"/>
      <c r="F61" s="574"/>
      <c r="G61" s="574"/>
      <c r="H61" s="574"/>
      <c r="I61" s="574"/>
      <c r="J61" s="574"/>
      <c r="K61" s="574"/>
      <c r="L61" s="574"/>
      <c r="M61" s="574"/>
      <c r="N61" s="475"/>
      <c r="O61" s="475"/>
      <c r="P61" s="475"/>
      <c r="Q61" s="475"/>
      <c r="R61" s="574"/>
      <c r="S61" s="475"/>
      <c r="T61" s="574"/>
      <c r="U61" s="574"/>
      <c r="V61" s="475"/>
      <c r="W61" s="574"/>
      <c r="X61" s="574"/>
      <c r="Y61" s="475"/>
      <c r="Z61" s="574"/>
      <c r="AA61" s="574"/>
      <c r="AB61" s="574"/>
      <c r="AC61" s="575"/>
      <c r="AD61" s="575"/>
      <c r="AE61" s="575"/>
      <c r="AF61" s="575"/>
      <c r="AG61" s="575"/>
      <c r="AH61" s="575"/>
      <c r="AI61" s="575"/>
      <c r="AJ61" s="575"/>
      <c r="AK61" s="575"/>
      <c r="AL61" s="575"/>
      <c r="AM61" s="575"/>
      <c r="AN61" s="575"/>
      <c r="AO61" s="594"/>
    </row>
    <row r="62" spans="1:63" ht="45" customHeight="1" x14ac:dyDescent="0.55000000000000004">
      <c r="A62" s="573"/>
      <c r="B62" s="475"/>
      <c r="C62" s="475"/>
      <c r="D62" s="574"/>
      <c r="E62" s="574"/>
      <c r="F62" s="574"/>
      <c r="G62" s="574"/>
      <c r="H62" s="574"/>
      <c r="I62" s="574"/>
      <c r="J62" s="574"/>
      <c r="K62" s="574"/>
      <c r="L62" s="574"/>
      <c r="M62" s="574"/>
      <c r="N62" s="475"/>
      <c r="O62" s="475"/>
      <c r="P62" s="475"/>
      <c r="Q62" s="475"/>
      <c r="R62" s="574"/>
      <c r="S62" s="475"/>
      <c r="T62" s="574"/>
      <c r="U62" s="574"/>
      <c r="V62" s="475"/>
      <c r="W62" s="574"/>
      <c r="X62" s="574"/>
      <c r="Y62" s="475"/>
      <c r="Z62" s="574"/>
      <c r="AA62" s="574"/>
      <c r="AB62" s="574"/>
      <c r="AC62" s="575"/>
      <c r="AD62" s="575"/>
      <c r="AE62" s="575"/>
      <c r="AF62" s="575"/>
      <c r="AG62" s="575"/>
      <c r="AH62" s="575"/>
      <c r="AI62" s="575"/>
      <c r="AJ62" s="575"/>
      <c r="AK62" s="575"/>
      <c r="AL62" s="575"/>
      <c r="AM62" s="575"/>
      <c r="AN62" s="575"/>
      <c r="AO62" s="594"/>
    </row>
    <row r="63" spans="1:63" ht="45" customHeight="1" x14ac:dyDescent="0.55000000000000004">
      <c r="A63" s="573"/>
      <c r="B63" s="475"/>
      <c r="C63" s="475"/>
      <c r="D63" s="574"/>
      <c r="E63" s="574"/>
      <c r="F63" s="574"/>
      <c r="G63" s="574"/>
      <c r="H63" s="574"/>
      <c r="I63" s="574"/>
      <c r="J63" s="574"/>
      <c r="K63" s="574"/>
      <c r="L63" s="574"/>
      <c r="M63" s="574"/>
      <c r="N63" s="475"/>
      <c r="O63" s="475"/>
      <c r="P63" s="475"/>
      <c r="Q63" s="475"/>
      <c r="R63" s="574"/>
      <c r="S63" s="475"/>
      <c r="T63" s="574"/>
      <c r="U63" s="574"/>
      <c r="V63" s="475"/>
      <c r="W63" s="574"/>
      <c r="X63" s="574"/>
      <c r="Y63" s="475"/>
      <c r="Z63" s="574"/>
      <c r="AA63" s="574"/>
      <c r="AB63" s="574"/>
      <c r="AC63" s="575"/>
      <c r="AD63" s="575"/>
      <c r="AE63" s="575"/>
      <c r="AF63" s="575"/>
      <c r="AG63" s="575"/>
      <c r="AH63" s="575"/>
      <c r="AI63" s="575"/>
      <c r="AJ63" s="575"/>
      <c r="AK63" s="575"/>
      <c r="AL63" s="575"/>
      <c r="AM63" s="575"/>
      <c r="AN63" s="575"/>
      <c r="AO63" s="594"/>
    </row>
    <row r="64" spans="1:63" ht="45" customHeight="1" x14ac:dyDescent="0.55000000000000004">
      <c r="AC64" s="596"/>
      <c r="AD64" s="596"/>
      <c r="AE64" s="596"/>
      <c r="AF64" s="596"/>
      <c r="AG64" s="596"/>
      <c r="AH64" s="596"/>
      <c r="AI64" s="596"/>
      <c r="AM64" s="596"/>
      <c r="AN64" s="596"/>
      <c r="AO64" s="596"/>
    </row>
    <row r="65" spans="29:41" ht="45" customHeight="1" x14ac:dyDescent="0.55000000000000004">
      <c r="AC65" s="596"/>
      <c r="AD65" s="596"/>
      <c r="AE65" s="596"/>
      <c r="AF65" s="596"/>
      <c r="AG65" s="596"/>
      <c r="AH65" s="596"/>
      <c r="AI65" s="596"/>
      <c r="AM65" s="596"/>
      <c r="AN65" s="596"/>
      <c r="AO65" s="596"/>
    </row>
    <row r="66" spans="29:41" ht="45" customHeight="1" x14ac:dyDescent="0.55000000000000004">
      <c r="AC66" s="596"/>
      <c r="AD66" s="596"/>
      <c r="AE66" s="596"/>
      <c r="AF66" s="596"/>
      <c r="AG66" s="596"/>
      <c r="AH66" s="596"/>
      <c r="AI66" s="596"/>
      <c r="AM66" s="596"/>
      <c r="AN66" s="596"/>
      <c r="AO66" s="596"/>
    </row>
    <row r="67" spans="29:41" ht="45" customHeight="1" x14ac:dyDescent="0.55000000000000004">
      <c r="AC67" s="596"/>
      <c r="AD67" s="596"/>
      <c r="AE67" s="596"/>
      <c r="AF67" s="596"/>
      <c r="AG67" s="596"/>
      <c r="AH67" s="596"/>
      <c r="AI67" s="596"/>
      <c r="AM67" s="596"/>
      <c r="AN67" s="596"/>
      <c r="AO67" s="596"/>
    </row>
    <row r="68" spans="29:41" ht="45" customHeight="1" x14ac:dyDescent="0.55000000000000004">
      <c r="AC68" s="596"/>
      <c r="AD68" s="596"/>
      <c r="AE68" s="596"/>
      <c r="AF68" s="596"/>
      <c r="AG68" s="596"/>
      <c r="AH68" s="596"/>
      <c r="AI68" s="596"/>
      <c r="AM68" s="596"/>
      <c r="AN68" s="596"/>
      <c r="AO68" s="596"/>
    </row>
    <row r="69" spans="29:41" ht="45" customHeight="1" x14ac:dyDescent="0.55000000000000004">
      <c r="AC69" s="596"/>
      <c r="AD69" s="596"/>
      <c r="AE69" s="596"/>
      <c r="AF69" s="596"/>
      <c r="AG69" s="596"/>
      <c r="AH69" s="596"/>
      <c r="AI69" s="596"/>
      <c r="AM69" s="596"/>
      <c r="AN69" s="596"/>
      <c r="AO69" s="596"/>
    </row>
    <row r="70" spans="29:41" ht="45" customHeight="1" x14ac:dyDescent="0.55000000000000004">
      <c r="AC70" s="596"/>
      <c r="AD70" s="596"/>
      <c r="AE70" s="596"/>
      <c r="AF70" s="596"/>
      <c r="AG70" s="596"/>
      <c r="AH70" s="596"/>
      <c r="AI70" s="596"/>
      <c r="AM70" s="596"/>
      <c r="AN70" s="596"/>
      <c r="AO70" s="596"/>
    </row>
    <row r="71" spans="29:41" ht="45" customHeight="1" x14ac:dyDescent="0.55000000000000004">
      <c r="AC71" s="596"/>
      <c r="AD71" s="596"/>
      <c r="AE71" s="596"/>
      <c r="AF71" s="596"/>
      <c r="AG71" s="596"/>
      <c r="AH71" s="596"/>
      <c r="AI71" s="596"/>
      <c r="AM71" s="596"/>
      <c r="AN71" s="596"/>
      <c r="AO71" s="596"/>
    </row>
    <row r="72" spans="29:41" ht="45" customHeight="1" x14ac:dyDescent="0.55000000000000004">
      <c r="AC72" s="596"/>
      <c r="AD72" s="596"/>
      <c r="AE72" s="596"/>
      <c r="AF72" s="596"/>
      <c r="AG72" s="596"/>
      <c r="AH72" s="596"/>
      <c r="AI72" s="596"/>
      <c r="AM72" s="596"/>
      <c r="AN72" s="596"/>
      <c r="AO72" s="596"/>
    </row>
  </sheetData>
  <sheetProtection algorithmName="SHA-512" hashValue="yTs8YNmSaE9zRsVyBSfUYgsvwn0rHbavWqk2CRXX4n1j7ebWkl374CuRau+5gN1CpVTYmY6GCYcZDVlZaTHy1A==" saltValue="LxNUNm0xAtWrw340HjAMWA==" spinCount="100000" sheet="1" objects="1" scenarios="1"/>
  <mergeCells count="5">
    <mergeCell ref="BD2:BH2"/>
    <mergeCell ref="BD3:BH3"/>
    <mergeCell ref="BD11:BH11"/>
    <mergeCell ref="BE9:BG9"/>
    <mergeCell ref="BE10:BG10"/>
  </mergeCells>
  <conditionalFormatting sqref="AW23:AW26 AX26">
    <cfRule type="expression" dxfId="4" priority="8">
      <formula>$L$16="JSM Ticket Update"</formula>
    </cfRule>
  </conditionalFormatting>
  <conditionalFormatting sqref="AX31">
    <cfRule type="expression" dxfId="3" priority="2">
      <formula>$L$16="JSM Ticket Update"</formula>
    </cfRule>
  </conditionalFormatting>
  <conditionalFormatting sqref="AX33">
    <cfRule type="expression" dxfId="2" priority="1">
      <formula>$L$16="JSM Ticket Update"</formula>
    </cfRule>
  </conditionalFormatting>
  <conditionalFormatting sqref="BI3:BI53">
    <cfRule type="expression" dxfId="1" priority="5">
      <formula>$I$2="LTI 1.3 Migration"</formula>
    </cfRule>
  </conditionalFormatting>
  <conditionalFormatting sqref="BJ3:BJ7 BK3:BK53">
    <cfRule type="expression" dxfId="0" priority="7">
      <formula>$I$2="LTI 1.3 Migration"</formula>
    </cfRule>
  </conditionalFormatting>
  <dataValidations disablePrompts="1" count="1">
    <dataValidation allowBlank="1" showInputMessage="1" sqref="AX26 AT26:AW36" xr:uid="{30DAB7FA-5ADD-4D8A-A5F1-319C155A520D}"/>
  </dataValidations>
  <hyperlinks>
    <hyperlink ref="BJ54" r:id="rId1" display="https://www.vertex42.com/ExcelTips/unicode-symbols.html" xr:uid="{2E9D5A77-F61C-4026-8547-9C704743E176}"/>
  </hyperlinks>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D021C-5B67-4D38-82FD-B42B82C6DA9A}">
  <sheetPr codeName="Sheet10">
    <tabColor theme="1"/>
  </sheetPr>
  <dimension ref="A1:AF82"/>
  <sheetViews>
    <sheetView topLeftCell="B60" zoomScaleNormal="100" workbookViewId="0">
      <selection activeCell="F3" sqref="F3"/>
    </sheetView>
  </sheetViews>
  <sheetFormatPr defaultColWidth="15.68359375" defaultRowHeight="45" customHeight="1" x14ac:dyDescent="0.55000000000000004"/>
  <cols>
    <col min="1" max="1" width="15.68359375" style="11"/>
    <col min="2" max="2" width="15.68359375" style="61"/>
    <col min="3" max="3" width="15.68359375" style="62"/>
    <col min="4" max="4" width="15.68359375" style="61"/>
    <col min="5" max="5" width="15.68359375" style="62"/>
    <col min="6" max="6" width="15.68359375" style="35"/>
    <col min="7" max="7" width="15.68359375" style="36"/>
    <col min="8" max="12" width="15.68359375" style="53"/>
    <col min="13" max="13" width="15.68359375" style="106"/>
    <col min="14" max="14" width="15.68359375" style="62"/>
    <col min="15" max="15" width="15.68359375" style="61"/>
    <col min="16" max="16" width="15.68359375" style="62"/>
    <col min="17" max="17" width="15.68359375" style="61"/>
    <col min="18" max="18" width="15.68359375" style="62"/>
    <col min="19" max="19" width="15.68359375" style="61"/>
    <col min="20" max="20" width="15.68359375" style="62"/>
    <col min="21" max="21" width="15.68359375" style="61"/>
    <col min="22" max="22" width="15.68359375" style="62"/>
    <col min="23" max="23" width="15.68359375" style="35"/>
    <col min="24" max="24" width="15.68359375" style="36"/>
    <col min="25" max="25" width="15.68359375" style="53"/>
    <col min="26" max="26" width="15.68359375" style="62"/>
    <col min="27" max="27" width="15.68359375" style="61"/>
    <col min="28" max="28" width="15.68359375" style="62"/>
    <col min="29" max="29" width="15.68359375" style="53"/>
    <col min="30" max="30" width="15.68359375" style="62"/>
    <col min="31" max="31" width="15.68359375" style="53"/>
    <col min="32" max="32" width="15.68359375" style="36"/>
    <col min="33" max="16384" width="15.68359375" style="11"/>
  </cols>
  <sheetData>
    <row r="1" spans="1:32" s="15" customFormat="1" ht="57.6" x14ac:dyDescent="0.55000000000000004">
      <c r="A1" s="34" t="s">
        <v>135</v>
      </c>
      <c r="B1" s="59" t="s">
        <v>875</v>
      </c>
      <c r="C1" s="60" t="s">
        <v>237</v>
      </c>
      <c r="D1" s="71" t="s">
        <v>876</v>
      </c>
      <c r="E1" s="72" t="s">
        <v>237</v>
      </c>
      <c r="F1" s="41" t="s">
        <v>870</v>
      </c>
      <c r="G1" s="42" t="s">
        <v>237</v>
      </c>
      <c r="H1" s="47" t="s">
        <v>873</v>
      </c>
      <c r="I1" s="48" t="s">
        <v>626</v>
      </c>
      <c r="J1" s="49" t="s">
        <v>653</v>
      </c>
      <c r="K1" s="50" t="s">
        <v>620</v>
      </c>
      <c r="L1" s="51" t="s">
        <v>627</v>
      </c>
      <c r="M1" s="186" t="s">
        <v>654</v>
      </c>
      <c r="N1" s="74" t="s">
        <v>237</v>
      </c>
      <c r="O1" s="96" t="s">
        <v>874</v>
      </c>
      <c r="P1" s="97"/>
      <c r="Q1" s="99" t="s">
        <v>877</v>
      </c>
      <c r="R1" s="100" t="s">
        <v>237</v>
      </c>
      <c r="S1" s="103" t="s">
        <v>855</v>
      </c>
      <c r="T1" s="104" t="s">
        <v>237</v>
      </c>
      <c r="U1" s="105" t="s">
        <v>856</v>
      </c>
      <c r="V1" s="105" t="s">
        <v>237</v>
      </c>
      <c r="W1" s="113" t="s">
        <v>850</v>
      </c>
      <c r="X1" s="114" t="s">
        <v>237</v>
      </c>
      <c r="Y1" s="115" t="s">
        <v>854</v>
      </c>
      <c r="Z1" s="115" t="s">
        <v>237</v>
      </c>
      <c r="AA1" s="116" t="s">
        <v>857</v>
      </c>
      <c r="AB1" s="117" t="s">
        <v>237</v>
      </c>
      <c r="AC1" s="242" t="s">
        <v>860</v>
      </c>
      <c r="AD1" s="242" t="s">
        <v>237</v>
      </c>
      <c r="AE1" s="119" t="s">
        <v>861</v>
      </c>
      <c r="AF1" s="118" t="s">
        <v>237</v>
      </c>
    </row>
    <row r="2" spans="1:32" ht="45" customHeight="1" x14ac:dyDescent="0.55000000000000004">
      <c r="A2" s="11" t="s">
        <v>418</v>
      </c>
      <c r="B2" s="61" t="s">
        <v>419</v>
      </c>
      <c r="D2" s="61" t="s">
        <v>419</v>
      </c>
      <c r="F2" s="57" t="s">
        <v>420</v>
      </c>
      <c r="G2" s="58"/>
      <c r="H2" s="52" t="s">
        <v>421</v>
      </c>
      <c r="I2" s="53" t="s">
        <v>746</v>
      </c>
      <c r="J2" s="53" t="s">
        <v>746</v>
      </c>
      <c r="K2" s="61" t="s">
        <v>260</v>
      </c>
      <c r="L2" s="53" t="s">
        <v>603</v>
      </c>
      <c r="M2" s="61" t="s">
        <v>260</v>
      </c>
      <c r="O2" s="61" t="s">
        <v>260</v>
      </c>
      <c r="Q2" s="61" t="s">
        <v>260</v>
      </c>
      <c r="S2" s="61" t="s">
        <v>863</v>
      </c>
      <c r="T2" s="140"/>
      <c r="U2" s="61" t="s">
        <v>863</v>
      </c>
      <c r="V2" s="140"/>
      <c r="W2" s="61" t="s">
        <v>260</v>
      </c>
      <c r="X2" s="62"/>
      <c r="Y2" s="61" t="s">
        <v>260</v>
      </c>
      <c r="AA2" s="61" t="s">
        <v>260</v>
      </c>
      <c r="AC2" s="61" t="s">
        <v>260</v>
      </c>
      <c r="AE2" s="61" t="s">
        <v>260</v>
      </c>
      <c r="AF2" s="58"/>
    </row>
    <row r="3" spans="1:32" ht="45" customHeight="1" x14ac:dyDescent="0.55000000000000004">
      <c r="A3" s="165" t="str">
        <f>IF('Program Config'!$F$14&lt;&gt;"",'Program Config'!$F$14,"JLB")</f>
        <v>JLB</v>
      </c>
      <c r="B3" s="61" t="s">
        <v>814</v>
      </c>
      <c r="D3" s="61" t="s">
        <v>815</v>
      </c>
      <c r="F3" s="43" t="str">
        <f>_xlfn.CONCAT("GENINTEGRATION Version (if required):  22
Provider Domain:  api.DemoData3.com
Default Configuration:  Set Globally
Security Settings:  Send over SSL, send all user information (required for reports)
DemoData27:   "&amp; (IFERROR('Program Config'!$C$30,"XXXX"))&amp;"
DemoData72:  "&amp; (IFERROR('Program Config'!$C$31,"XXXX"))&amp;"")</f>
        <v>GENINTEGRATION Version (if required):  22
Provider Domain:  api.DemoData3.com
Default Configuration:  Set Globally
Security Settings:  Send over SSL, send all user information (required for reports)
DemoData27:   Nonce7
DemoData72:  Nocne8</v>
      </c>
      <c r="G3" s="44"/>
      <c r="H3" s="54" t="str">
        <f>_xlfn.CONCAT("Launch Point: "&amp;(IFERROR(RIGHT('Program Config'!$C$34,LEN('Program Config'!$C$34)-8),"XXXX")&amp;"
Version:  22
OA SG Method:  HMAC-SHA1
Use custom tool consumer information instead of default
DemoData27:  "&amp;('Program Config'!$C$30)&amp;"
DemoData72:  "&amp;('Program Config'!$C$31)&amp;"
Name:  DemoData.com
Visibility:  Checked
Security Settings:  All boxes checked"))</f>
        <v>Launch Point: www.linkedin.com/in/jo-ann-balsamo/
Version:  22
OA SG Method:  HMAC-SHA1
Use custom tool consumer information instead of default
DemoData27:  Nonce7
DemoData72:  Nocne8
Name:  DemoData.com
Visibility:  Checked
Security Settings:  All boxes checked</v>
      </c>
      <c r="I3" s="56" t="str">
        <f>_xlfn.CONCAT("•             SSO (ACS) URL:  https://www.linkedin.com/in/jo-ann-balsamo"&amp;('Program Config'!$C$28)&amp;"")</f>
        <v>•             SSO (ACS) URL:  https://www.linkedin.com/in/jo-ann-balsamoNONCE-nonce-NONCE2-nonce3-nonce</v>
      </c>
      <c r="J3" s="56" t="str">
        <f>_xlfn.CONCAT("•             SSO (ACS) URL:  https://www.linkedin.com/in/jo-ann-balsamo"&amp;('Program Config'!$C$28)&amp;"")</f>
        <v>•             SSO (ACS) URL:  https://www.linkedin.com/in/jo-ann-balsamoNONCE-nonce-NONCE2-nonce3-nonce</v>
      </c>
      <c r="L3" s="55" t="str">
        <f>_xlfn.CONCAT("Tool URL:   "&amp;('Program Config'!$C$34)&amp;"
Launch container:  New Window
Secure tool URL:   "&amp;('Program Config'!$C$34)&amp;"
Consumer DemoData27:  "&amp;('Program Config'!$C$30)&amp;"
Shared DemoData72:  "&amp;('Program Config'!$C$31)&amp;"")</f>
        <v>Tool URL:   https://www.linkedin.com/in/jo-ann-balsamo/
Launch container:  New Window
Secure tool URL:   https://www.linkedin.com/in/jo-ann-balsamo/
Consumer DemoData27:  Nonce7
Shared DemoData72:  Nocne8</v>
      </c>
      <c r="M3" s="61"/>
      <c r="S3" s="63" t="str" cm="1">
        <f t="array" ref="S3">_xlfn.IFS('Program Config'!$H$14="PROD","LMS1.instructure.com", 'Program Config'!$H$14="STG / TEST", "LMS1.test.instructure.com", TRUE, "LMS1.instructure.com")</f>
        <v>LMS1.instructure.com</v>
      </c>
      <c r="T3" s="140"/>
      <c r="U3" s="63" t="str" cm="1">
        <f t="array" ref="U3">_xlfn.IFS('Program Config'!$H$14="PROD","LMS1.instructure.com", 'Program Config'!$H$14="STG / TEST", "LMS1.test.instructure.com", TRUE, "LMS1.instructure.com")</f>
        <v>LMS1.instructure.com</v>
      </c>
      <c r="V3" s="140"/>
      <c r="W3" s="61"/>
      <c r="X3" s="62"/>
      <c r="Y3" s="61"/>
      <c r="AC3" s="61"/>
      <c r="AE3" s="55"/>
      <c r="AF3" s="44"/>
    </row>
    <row r="4" spans="1:32" ht="45" customHeight="1" x14ac:dyDescent="0.55000000000000004">
      <c r="A4" s="11" t="s">
        <v>422</v>
      </c>
      <c r="B4" s="61" t="s">
        <v>816</v>
      </c>
      <c r="D4" s="61" t="s">
        <v>817</v>
      </c>
      <c r="F4" s="35" t="s">
        <v>423</v>
      </c>
      <c r="H4" s="56" t="str">
        <f>_xlfn.CONCAT("-=- Tool Link Settings -=-
Title:  DemoData.com
URL:  "&amp; (IFERROR('Program Config'!$C$34,"XXXX"))&amp;"
Visibility:  Checked
DemoData27/DemoData72 "&amp;($A$1)&amp;"Sign Messages…"&amp;($A$1)&amp;":  Checked
Tool Consumer DemoData27/DemoData72:  Checked
Security Settings:  All boxes checked")</f>
        <v>-=- Tool Link Settings -=-
Title:  DemoData.com
URL:  https://www.linkedin.com/in/jo-ann-balsamo/
Visibility:  Checked
DemoData27/DemoData72 "Sign Messages…":  Checked
Tool Consumer DemoData27/DemoData72:  Checked
Security Settings:  All boxes checked</v>
      </c>
      <c r="I4" s="56" t="str">
        <f>_xlfn.CONCAT("•             Entity ID (the same as the SSO URL):  https://www.linkedin.com/in/jo-ann-balsamo"&amp;('Program Config'!$C$28)&amp;"")</f>
        <v>•             Entity ID (the same as the SSO URL):  https://www.linkedin.com/in/jo-ann-balsamoNONCE-nonce-NONCE2-nonce3-nonce</v>
      </c>
      <c r="J4" s="56" t="str">
        <f>_xlfn.CONCAT("•             Entity ID (the same as the SSO URL):  https://www.linkedin.com/in/jo-ann-balsamo"&amp;('Program Config'!$C$28)&amp;"")</f>
        <v>•             Entity ID (the same as the SSO URL):  https://www.linkedin.com/in/jo-ann-balsamoNONCE-nonce-NONCE2-nonce3-nonce</v>
      </c>
      <c r="L4" s="53" t="s">
        <v>951</v>
      </c>
      <c r="M4" s="61"/>
      <c r="S4" s="61" t="s">
        <v>424</v>
      </c>
      <c r="T4" s="140"/>
      <c r="U4" s="61" t="s">
        <v>424</v>
      </c>
      <c r="V4" s="140"/>
      <c r="W4" s="61"/>
      <c r="X4" s="62"/>
      <c r="Y4" s="61"/>
      <c r="AC4" s="61"/>
    </row>
    <row r="5" spans="1:32" ht="45" customHeight="1" x14ac:dyDescent="0.55000000000000004">
      <c r="A5" s="11" t="s">
        <v>425</v>
      </c>
      <c r="B5" s="63" t="str">
        <f>_xlfn.CONCAT("&lt;bGENINTEGRATION:icon&gt;&lt;/bGENINTEGRATION:icon&gt;
    &lt;bGENINTEGRATION:launch_url&gt;"&amp;(IFERROR('Program Config'!$C$34,"XXXX"))&amp;"&lt;/bGENINTEGRATION:launch_url&gt;
    &lt;bGENINTEGRATION:extensions platform="&amp;($A$1)&amp;"LMS1.instructure.com"&amp;($A$1)&amp;"&gt;")</f>
        <v>&lt;bGENINTEGRATION:icon&gt;&lt;/bGENINTEGRATION:icon&gt;
    &lt;bGENINTEGRATION:launch_url&gt;https://www.linkedin.com/in/jo-ann-balsamo/&lt;/bGENINTEGRATION:launch_url&gt;
    &lt;bGENINTEGRATION:extensions platform="LMS1.instructure.com"&gt;</v>
      </c>
      <c r="C5" s="64"/>
      <c r="D5" s="63" t="str">
        <f>_xlfn.CONCAT("&lt;bGENINTEGRATION:icon&gt;&lt;/bGENINTEGRATION:icon&gt;
    &lt;bGENINTEGRATION:launch_url&gt;"&amp;(IFERROR('Program Config'!$C$34,"XXXX"))&amp;"&lt;/bGENINTEGRATION:launch_url&gt;
    &lt;bGENINTEGRATION:extensions platform="&amp;($A$1)&amp;"LMS1.instructure.com"&amp;($A$1)&amp;"&gt;")</f>
        <v>&lt;bGENINTEGRATION:icon&gt;&lt;/bGENINTEGRATION:icon&gt;
    &lt;bGENINTEGRATION:launch_url&gt;https://www.linkedin.com/in/jo-ann-balsamo/&lt;/bGENINTEGRATION:launch_url&gt;
    &lt;bGENINTEGRATION:extensions platform="LMS1.instructure.com"&gt;</v>
      </c>
      <c r="E5" s="64"/>
      <c r="F5" s="37" t="str">
        <f>_xlfn.CONCAT("-=- Create Placement -=-
Tool Provider URL:   "&amp; (IFERROR('Program Config'!$C$34,"XXXX"))&amp;"
Type:  Usually a "&amp;($A$1)&amp;"Course Tool"&amp;($A$1)&amp;" for students but sometimes a "&amp;($A$1)&amp;"System Tool"&amp;($A$1)&amp;"
Launch in New Window:  Checked")</f>
        <v>-=- Create Placement -=-
Tool Provider URL:   https://www.linkedin.com/in/jo-ann-balsamo/
Type:  Usually a "Course Tool" for students but sometimes a "System Tool"
Launch in New Window:  Checked</v>
      </c>
      <c r="G5" s="38"/>
      <c r="H5" s="56" t="str">
        <f>_xlfn.CONCAT("-=- Add Link to Course -=-
NOTE:  Open as "&amp;($A$1)&amp;"External Resources"&amp;($A$1)&amp;" or set Launch Behavior to "&amp;($A$1)&amp;"New Window/Tab"&amp;($A$1)&amp;"")</f>
        <v>-=- Add Link to Course -=-
NOTE:  Open as "External Resources" or set Launch Behavior to "New Window/Tab"</v>
      </c>
      <c r="I5" s="53" t="s">
        <v>952</v>
      </c>
      <c r="J5" s="53" t="s">
        <v>952</v>
      </c>
      <c r="M5" s="61"/>
      <c r="S5" s="63" t="str" cm="1">
        <f t="array" ref="S5">_xlfn.IFS('Program Config'!$H$14="PROD","LMS1.instructure.com", 'Program Config'!$H$14="STG / TEST", "LMS1.test.instructure.com", TRUE, "LMS1.instructure.com")</f>
        <v>LMS1.instructure.com</v>
      </c>
      <c r="T5" s="140"/>
      <c r="U5" s="63" t="str" cm="1">
        <f t="array" ref="U5">_xlfn.IFS('Program Config'!$H$14="PROD","LMS1.instructure.com", 'Program Config'!$H$14="STG / TEST", "LMS1.test.instructure.com", TRUE, "LMS1.instructure.com")</f>
        <v>LMS1.instructure.com</v>
      </c>
      <c r="V5" s="140"/>
      <c r="W5" s="61"/>
      <c r="X5" s="62"/>
      <c r="Y5" s="61"/>
      <c r="AC5" s="61"/>
      <c r="AF5" s="38"/>
    </row>
    <row r="6" spans="1:32" ht="45" customHeight="1" x14ac:dyDescent="0.55000000000000004">
      <c r="B6" s="63" t="str">
        <f>_xlfn.CONCAT("&lt;GENINTEGRATIONcm:property name="&amp;($A$1)&amp;"tool_id"&amp;($A$1)&amp;"&gt;JLB_"&amp;($A$3)&amp;"_321&lt;/GENINTEGRATIONcm:property&gt;")</f>
        <v>&lt;GENINTEGRATIONcm:property name="tool_id"&gt;JLB_JLB_321&lt;/GENINTEGRATIONcm:property&gt;</v>
      </c>
      <c r="C6" s="64"/>
      <c r="D6" s="63" t="str">
        <f>_xlfn.CONCAT("&lt;GENINTEGRATIONcm:property name="&amp;($A$1)&amp;"tool_id"&amp;($A$1)&amp;"&gt;JLB_"&amp;($A$3)&amp;"_321&lt;/GENINTEGRATIONcm:property&gt;")</f>
        <v>&lt;GENINTEGRATIONcm:property name="tool_id"&gt;JLB_JLB_321&lt;/GENINTEGRATIONcm:property&gt;</v>
      </c>
      <c r="E6" s="64"/>
      <c r="F6" s="37"/>
      <c r="G6" s="38"/>
      <c r="H6" s="56"/>
      <c r="I6" s="53" t="str">
        <f>_xlfn.CONCAT("-=- Attribute Mappings (please note that these "&amp;($A$1)&amp;"App Attributes"&amp;($A$1)&amp;" are case-sensitive) -=-")</f>
        <v>-=- Attribute Mappings (please note that these "App Attributes" are case-sensitive) -=-</v>
      </c>
      <c r="J6" s="53" t="str">
        <f>_xlfn.CONCAT("-=- Attribute Mappings (please note that these "&amp;($A$1)&amp;"App Attributes"&amp;($A$1)&amp;" are case-sensitive) -=-")</f>
        <v>-=- Attribute Mappings (please note that these "App Attributes" are case-sensitive) -=-</v>
      </c>
      <c r="M6" s="61"/>
      <c r="S6" s="61" t="s">
        <v>426</v>
      </c>
      <c r="T6" s="140"/>
      <c r="U6" s="61" t="s">
        <v>426</v>
      </c>
      <c r="V6" s="140"/>
      <c r="W6" s="61"/>
      <c r="X6" s="62"/>
      <c r="Y6" s="61"/>
      <c r="AC6" s="61"/>
      <c r="AF6" s="38"/>
    </row>
    <row r="7" spans="1:32" ht="45" customHeight="1" x14ac:dyDescent="0.55000000000000004">
      <c r="A7" s="321" t="str">
        <f>IFERROR(IF('Program Config'!$C$32="","AUTO /PUBLIC/:",'Program Config'!$A$32),"/PUBLIC/")</f>
        <v>AUTO /PUBLIC/:</v>
      </c>
      <c r="B7" s="63"/>
      <c r="C7" s="64"/>
      <c r="D7" s="63"/>
      <c r="E7" s="64"/>
      <c r="F7" s="37"/>
      <c r="G7" s="38"/>
      <c r="H7" s="56"/>
      <c r="M7" s="61"/>
      <c r="S7" s="61" t="s">
        <v>818</v>
      </c>
      <c r="T7" s="140"/>
      <c r="U7" s="61" t="s">
        <v>818</v>
      </c>
      <c r="V7" s="140"/>
      <c r="W7" s="61"/>
      <c r="X7" s="62"/>
      <c r="Y7" s="61"/>
      <c r="AC7" s="61"/>
      <c r="AF7" s="38"/>
    </row>
    <row r="8" spans="1:32" ht="45" customHeight="1" x14ac:dyDescent="0.55000000000000004">
      <c r="A8" s="320" t="str">
        <f>IFERROR(IF(AND('Program Config'!$C$32="",'Program Config'!$C$12=""),"/joann-balsamo/",IF('Program Config'!$C$32&lt;&gt;"",'Program Config'!$C$32,'Program Config'!$F$12)),"")</f>
        <v>/linkedin/</v>
      </c>
      <c r="B8" s="63"/>
      <c r="C8" s="64"/>
      <c r="D8" s="63"/>
      <c r="E8" s="64"/>
      <c r="F8" s="37"/>
      <c r="G8" s="38"/>
      <c r="H8" s="56"/>
      <c r="M8" s="61"/>
      <c r="S8" s="63" t="str">
        <f>_xlfn.CONCAT(""&amp;('Program Config'!$C$34)&amp;""&amp;($A$1)&amp;"
                   "&amp;($A$5)&amp;",")</f>
        <v>https://www.linkedin.com/in/jo-ann-balsamo/"
                    },</v>
      </c>
      <c r="T8" s="140"/>
      <c r="U8" s="63" t="str">
        <f>_xlfn.CONCAT(""&amp;('Program Config'!$C$34)&amp;""&amp;($A$1)&amp;"
                   "&amp;($A$5)&amp;",")</f>
        <v>https://www.linkedin.com/in/jo-ann-balsamo/"
                    },</v>
      </c>
      <c r="V8" s="140"/>
      <c r="W8" s="61"/>
      <c r="X8" s="62"/>
      <c r="Y8" s="61"/>
      <c r="AC8" s="61"/>
      <c r="AF8" s="38"/>
    </row>
    <row r="9" spans="1:32" ht="45" customHeight="1" x14ac:dyDescent="0.55000000000000004">
      <c r="A9" s="11" t="str">
        <f>A8</f>
        <v>/linkedin/</v>
      </c>
      <c r="B9" s="63"/>
      <c r="C9" s="64"/>
      <c r="D9" s="63"/>
      <c r="E9" s="64"/>
      <c r="F9" s="37"/>
      <c r="G9" s="38"/>
      <c r="H9" s="56"/>
      <c r="M9" s="61"/>
      <c r="S9" s="61" t="s">
        <v>819</v>
      </c>
      <c r="T9" s="140"/>
      <c r="U9" s="61" t="s">
        <v>820</v>
      </c>
      <c r="V9" s="140"/>
      <c r="W9" s="61"/>
      <c r="X9" s="62"/>
      <c r="Y9" s="61"/>
      <c r="AC9" s="61"/>
      <c r="AF9" s="38"/>
    </row>
    <row r="10" spans="1:32" ht="45" customHeight="1" x14ac:dyDescent="0.55000000000000004">
      <c r="B10" s="63"/>
      <c r="C10" s="64"/>
      <c r="D10" s="63"/>
      <c r="E10" s="64"/>
      <c r="F10" s="37"/>
      <c r="G10" s="38"/>
      <c r="H10" s="56"/>
      <c r="M10" s="61"/>
      <c r="S10" s="63" t="str">
        <f>_xlfn.CONCAT(""&amp;('Program Config'!$C$34)&amp;""&amp;($A$1)&amp;"
                   "&amp;($A$5)&amp;"")</f>
        <v>https://www.linkedin.com/in/jo-ann-balsamo/"
                    }</v>
      </c>
      <c r="T10" s="140"/>
      <c r="U10" s="63" t="str">
        <f>_xlfn.CONCAT(""&amp;('Program Config'!$C$34)&amp;""&amp;($A$1)&amp;"
                   "&amp;($A$5)&amp;",")</f>
        <v>https://www.linkedin.com/in/jo-ann-balsamo/"
                    },</v>
      </c>
      <c r="V10" s="140"/>
      <c r="W10" s="61"/>
      <c r="X10" s="62"/>
      <c r="Y10" s="61"/>
      <c r="AC10" s="61"/>
      <c r="AF10" s="38"/>
    </row>
    <row r="11" spans="1:32" ht="45" customHeight="1" x14ac:dyDescent="0.55000000000000004">
      <c r="B11" s="61" t="s">
        <v>821</v>
      </c>
      <c r="D11" s="61" t="s">
        <v>821</v>
      </c>
      <c r="I11" s="53" t="s">
        <v>953</v>
      </c>
      <c r="J11" s="53" t="s">
        <v>953</v>
      </c>
      <c r="M11" s="61"/>
      <c r="S11" s="61" t="s">
        <v>864</v>
      </c>
      <c r="T11" s="140"/>
      <c r="U11" s="61" t="s">
        <v>822</v>
      </c>
      <c r="V11" s="140"/>
      <c r="W11" s="61"/>
      <c r="X11" s="62"/>
      <c r="Y11" s="61"/>
      <c r="AC11" s="61"/>
    </row>
    <row r="12" spans="1:32" ht="45" customHeight="1" x14ac:dyDescent="0.55000000000000004">
      <c r="B12" s="63" t="str">
        <f>_xlfn.CONCAT("&lt;GENINTEGRATIONcm:property name="&amp;($A$1)&amp;"url"&amp;($A$1)&amp;"&gt;"&amp;(IFERROR('Program Config'!$C$34,"XXXX"))&amp;"&lt;/GENINTEGRATIONcm:property&gt;
        &lt;GENINTEGRATIONcm:property name="&amp;($A$1)&amp;"text"&amp;($A$1)&amp;"&gt;DemoData.com: 24/7 Online DemoDataing&lt;/GENINTEGRATIONcm:property&gt;
        &lt;GENINTEGRATIONcm:property name="&amp;($A$1)&amp;"visibility"&amp;($A$1)&amp;"&gt;public&lt;/GENINTEGRATIONcm:property&gt;
        &lt;GENINTEGRATIONcm:property name="&amp;($A$1)&amp;"default"&amp;($A$1)&amp;"&gt;enabled&lt;/GENINTEGRATIONcm:property&gt;
        &lt;GENINTEGRATIONcm:property name="&amp;($A$1)&amp;"enabled"&amp;($A$1)&amp;"&gt;true&lt;/GENINTEGRATIONcm:property&gt;
        &lt;GENINTEGRATIONcm:property name="&amp;($A$1)&amp;"windowTarget"&amp;($A$1)&amp;"&gt;_blank&lt;/GENINTEGRATIONcm:property&gt;")</f>
        <v>&lt;GENINTEGRATIONcm:property name="url"&gt;https://www.linkedin.com/in/jo-ann-balsamo/&lt;/GENINTEGRATIONcm:property&gt;
        &lt;GENINTEGRATIONcm:property name="text"&gt;DemoData.com: 24/7 Online DemoDataing&lt;/GENINTEGRATIONcm:property&gt;
        &lt;GENINTEGRATIONcm:property name="visibility"&gt;public&lt;/GENINTEGRATIONcm:property&gt;
        &lt;GENINTEGRATIONcm:property name="default"&gt;enabled&lt;/GENINTEGRATIONcm:property&gt;
        &lt;GENINTEGRATIONcm:property name="enabled"&gt;true&lt;/GENINTEGRATIONcm:property&gt;
        &lt;GENINTEGRATIONcm:property name="windowTarget"&gt;_blank&lt;/GENINTEGRATIONcm:property&gt;</v>
      </c>
      <c r="C12" s="64"/>
      <c r="D12" s="63" t="str">
        <f>_xlfn.CONCAT("&lt;GENINTEGRATIONcm:property name="&amp;($A$1)&amp;"url"&amp;($A$1)&amp;"&gt;"&amp;(IFERROR('Program Config'!$C$34,"XXXX"))&amp;"&lt;/GENINTEGRATIONcm:property&gt;
        &lt;GENINTEGRATIONcm:property name="&amp;($A$1)&amp;"text"&amp;($A$1)&amp;"&gt;DemoData.com: 24/7 Online DemoDataing&lt;/GENINTEGRATIONcm:property&gt;
        &lt;GENINTEGRATIONcm:property name="&amp;($A$1)&amp;"visibility"&amp;($A$1)&amp;"&gt;public&lt;/GENINTEGRATIONcm:property&gt;
        &lt;GENINTEGRATIONcm:property name="&amp;($A$1)&amp;"default"&amp;($A$1)&amp;"&gt;disabled&lt;/GENINTEGRATIONcm:property&gt;
        &lt;GENINTEGRATIONcm:property name="&amp;($A$1)&amp;"disabled"&amp;($A$1)&amp;"&gt;true&lt;/GENINTEGRATIONcm:property&gt;
        &lt;GENINTEGRATIONcm:property name="&amp;($A$1)&amp;"windowTarget"&amp;($A$1)&amp;"&gt;_blank&lt;/GENINTEGRATIONcm:property&gt;")</f>
        <v>&lt;GENINTEGRATIONcm:property name="url"&gt;https://www.linkedin.com/in/jo-ann-balsamo/&lt;/GENINTEGRATIONcm:property&gt;
        &lt;GENINTEGRATIONcm:property name="text"&gt;DemoData.com: 24/7 Online DemoDataing&lt;/GENINTEGRATIONcm:property&gt;
        &lt;GENINTEGRATIONcm:property name="visibility"&gt;public&lt;/GENINTEGRATIONcm:property&gt;
        &lt;GENINTEGRATIONcm:property name="default"&gt;disabled&lt;/GENINTEGRATIONcm:property&gt;
        &lt;GENINTEGRATIONcm:property name="disabled"&gt;true&lt;/GENINTEGRATIONcm:property&gt;
        &lt;GENINTEGRATIONcm:property name="windowTarget"&gt;_blank&lt;/GENINTEGRATIONcm:property&gt;</v>
      </c>
      <c r="E12" s="64"/>
      <c r="M12" s="61"/>
      <c r="S12" s="63" t="str">
        <f>_xlfn.CONCAT(""&amp;('Program Config'!$F$10)&amp;""&amp;($A$1)&amp;",")</f>
        <v>DEMO",</v>
      </c>
      <c r="T12" s="140"/>
      <c r="U12" s="63" t="str">
        <f>_xlfn.CONCAT(""&amp;('Program Config'!$C$34)&amp;""&amp;($A$1)&amp;"
                   "&amp;($A$5)&amp;",")</f>
        <v>https://www.linkedin.com/in/jo-ann-balsamo/"
                    },</v>
      </c>
      <c r="V12" s="140"/>
      <c r="W12" s="61"/>
      <c r="X12" s="62"/>
      <c r="Y12" s="61"/>
      <c r="AC12" s="61"/>
    </row>
    <row r="13" spans="1:32" ht="45" customHeight="1" x14ac:dyDescent="0.55000000000000004">
      <c r="B13" s="61" t="s">
        <v>823</v>
      </c>
      <c r="D13" s="61" t="s">
        <v>823</v>
      </c>
      <c r="M13" s="61"/>
      <c r="S13" s="61" t="s">
        <v>894</v>
      </c>
      <c r="T13" s="140"/>
      <c r="U13" s="61" t="s">
        <v>824</v>
      </c>
      <c r="V13" s="140"/>
      <c r="W13" s="61"/>
      <c r="X13" s="62"/>
      <c r="Y13" s="61"/>
      <c r="AC13" s="61"/>
    </row>
    <row r="14" spans="1:32" ht="45" customHeight="1" x14ac:dyDescent="0.55000000000000004">
      <c r="M14" s="61"/>
      <c r="S14" s="63" t="str">
        <f>_xlfn.CONCAT(""&amp;('Program Config'!$C$30)&amp;""&amp;($A$1)&amp;"
   "&amp;($A$5)&amp;",")</f>
        <v>Nonce7"
    },</v>
      </c>
      <c r="T14" s="140"/>
      <c r="U14" s="63" t="str">
        <f>_xlfn.CONCAT(""&amp;('Program Config'!$C$34)&amp;""&amp;($A$1)&amp;"
                   "&amp;($A$5)&amp;"")</f>
        <v>https://www.linkedin.com/in/jo-ann-balsamo/"
                    }</v>
      </c>
      <c r="V14" s="140"/>
      <c r="W14" s="61"/>
      <c r="X14" s="62"/>
      <c r="Y14" s="61"/>
      <c r="AC14" s="61"/>
    </row>
    <row r="15" spans="1:32" ht="45" customHeight="1" x14ac:dyDescent="0.55000000000000004">
      <c r="M15" s="61"/>
      <c r="S15" s="61" t="s">
        <v>427</v>
      </c>
      <c r="T15" s="140"/>
      <c r="U15" s="61" t="s">
        <v>865</v>
      </c>
      <c r="V15" s="140"/>
      <c r="W15" s="61"/>
      <c r="X15" s="62"/>
      <c r="Y15" s="61"/>
      <c r="AC15" s="61"/>
    </row>
    <row r="16" spans="1:32" ht="45" customHeight="1" x14ac:dyDescent="0.55000000000000004">
      <c r="M16" s="61"/>
      <c r="S16" s="63" t="str">
        <f>_xlfn.CONCAT(""&amp;('Program Config'!$C$34)&amp;"/DemoData27set"&amp;($A$1)&amp;",")</f>
        <v>https://www.linkedin.com/in/jo-ann-balsamo//DemoData27set",</v>
      </c>
      <c r="T16" s="140"/>
      <c r="U16" s="63" t="str">
        <f>_xlfn.CONCAT(""&amp;('Program Config'!$F$10)&amp;""&amp;($A$1)&amp;",")</f>
        <v>DEMO",</v>
      </c>
      <c r="V16" s="140"/>
      <c r="W16" s="61"/>
      <c r="X16" s="62"/>
      <c r="Z16" s="140"/>
      <c r="AD16" s="140"/>
    </row>
    <row r="17" spans="1:32" ht="45" customHeight="1" x14ac:dyDescent="0.55000000000000004">
      <c r="M17" s="61"/>
      <c r="S17" s="61" t="s">
        <v>428</v>
      </c>
      <c r="T17" s="140"/>
      <c r="U17" s="61" t="s">
        <v>894</v>
      </c>
      <c r="V17" s="140"/>
      <c r="W17" s="61"/>
      <c r="X17" s="62"/>
      <c r="Z17" s="140"/>
      <c r="AD17" s="140"/>
    </row>
    <row r="18" spans="1:32" ht="45" customHeight="1" x14ac:dyDescent="0.55000000000000004">
      <c r="M18" s="61"/>
      <c r="S18" s="63" t="str">
        <f>_xlfn.CONCAT(""&amp;('Program Config'!$C$34)&amp;""&amp;($A$1)&amp;",")</f>
        <v>https://www.linkedin.com/in/jo-ann-balsamo/",</v>
      </c>
      <c r="T18" s="140"/>
      <c r="U18" s="63" t="str">
        <f>_xlfn.CONCAT(""&amp;('Program Config'!$C$30)&amp;""&amp;($A$1)&amp;"
    "&amp;($A$5)&amp;",")</f>
        <v>Nonce7"
     },</v>
      </c>
      <c r="V18" s="140"/>
      <c r="W18" s="61"/>
      <c r="X18" s="62"/>
      <c r="Z18" s="140"/>
      <c r="AD18" s="140"/>
    </row>
    <row r="19" spans="1:32" ht="45" customHeight="1" x14ac:dyDescent="0.55000000000000004">
      <c r="M19" s="61"/>
      <c r="S19" s="61" t="s">
        <v>429</v>
      </c>
      <c r="T19" s="140"/>
      <c r="U19" s="61" t="s">
        <v>427</v>
      </c>
      <c r="V19" s="140"/>
      <c r="W19" s="61"/>
      <c r="X19" s="62"/>
      <c r="Z19" s="140"/>
      <c r="AD19" s="140"/>
    </row>
    <row r="20" spans="1:32" ht="45" customHeight="1" x14ac:dyDescent="0.55000000000000004">
      <c r="M20" s="61"/>
      <c r="S20" s="63" t="str">
        <f>_xlfn.CONCAT(""&amp;('Program Config'!$C$34)&amp;""&amp;($A$1)&amp;"
"&amp;($A$5)&amp;"")</f>
        <v>https://www.linkedin.com/in/jo-ann-balsamo/"
 }</v>
      </c>
      <c r="T20" s="140"/>
      <c r="U20" s="63" t="str">
        <f>_xlfn.CONCAT(""&amp;('Program Config'!$C$34)&amp;"/DemoData27set"&amp;($A$1)&amp;",")</f>
        <v>https://www.linkedin.com/in/jo-ann-balsamo//DemoData27set",</v>
      </c>
      <c r="V20" s="140"/>
      <c r="W20" s="61"/>
      <c r="X20" s="62"/>
      <c r="Z20" s="140"/>
      <c r="AD20" s="140"/>
    </row>
    <row r="21" spans="1:32" ht="45" customHeight="1" x14ac:dyDescent="0.55000000000000004">
      <c r="M21" s="61"/>
      <c r="T21" s="140"/>
      <c r="U21" s="61" t="s">
        <v>428</v>
      </c>
      <c r="V21" s="112"/>
      <c r="W21" s="61"/>
      <c r="X21" s="62"/>
      <c r="Z21" s="140"/>
      <c r="AD21" s="140"/>
    </row>
    <row r="22" spans="1:32" ht="45" customHeight="1" x14ac:dyDescent="0.55000000000000004">
      <c r="M22" s="61"/>
      <c r="T22" s="140"/>
      <c r="U22" s="63" t="str">
        <f>_xlfn.CONCAT(""&amp;('Program Config'!$C$34)&amp;""&amp;($A$1)&amp;",")</f>
        <v>https://www.linkedin.com/in/jo-ann-balsamo/",</v>
      </c>
      <c r="V22" s="112"/>
      <c r="W22" s="61"/>
      <c r="X22" s="62"/>
      <c r="Z22" s="140"/>
      <c r="AD22" s="140"/>
    </row>
    <row r="23" spans="1:32" ht="45" customHeight="1" x14ac:dyDescent="0.55000000000000004">
      <c r="M23" s="61"/>
      <c r="T23" s="140"/>
      <c r="U23" s="61" t="s">
        <v>429</v>
      </c>
      <c r="V23" s="112"/>
      <c r="W23" s="61"/>
      <c r="X23" s="62"/>
      <c r="Z23" s="140"/>
      <c r="AD23" s="140"/>
    </row>
    <row r="24" spans="1:32" ht="45" customHeight="1" x14ac:dyDescent="0.55000000000000004">
      <c r="M24" s="61"/>
      <c r="T24" s="140"/>
      <c r="U24" s="63" t="str">
        <f>_xlfn.CONCAT(""&amp;('Program Config'!$C$34)&amp;""&amp;($A$1)&amp;"
"&amp;($A$5)&amp;"")</f>
        <v>https://www.linkedin.com/in/jo-ann-balsamo/"
 }</v>
      </c>
      <c r="V24" s="112"/>
      <c r="W24" s="61"/>
      <c r="X24" s="62"/>
      <c r="Z24" s="140"/>
      <c r="AD24" s="140"/>
    </row>
    <row r="25" spans="1:32" ht="45" customHeight="1" x14ac:dyDescent="0.55000000000000004">
      <c r="M25" s="61"/>
      <c r="T25" s="140"/>
      <c r="V25" s="112"/>
      <c r="W25" s="61"/>
      <c r="X25" s="62"/>
      <c r="Z25" s="140"/>
      <c r="AD25" s="140"/>
    </row>
    <row r="26" spans="1:32" s="15" customFormat="1" ht="45" customHeight="1" x14ac:dyDescent="0.55000000000000004">
      <c r="A26" s="34" t="s">
        <v>135</v>
      </c>
      <c r="B26" s="59" t="s">
        <v>727</v>
      </c>
      <c r="C26" s="60"/>
      <c r="D26" s="71" t="s">
        <v>727</v>
      </c>
      <c r="E26" s="72"/>
      <c r="F26" s="41" t="s">
        <v>728</v>
      </c>
      <c r="G26" s="42"/>
      <c r="H26" s="47" t="s">
        <v>729</v>
      </c>
      <c r="I26" s="48" t="s">
        <v>730</v>
      </c>
      <c r="J26" s="49" t="s">
        <v>731</v>
      </c>
      <c r="K26" s="50" t="s">
        <v>732</v>
      </c>
      <c r="L26" s="51" t="s">
        <v>733</v>
      </c>
      <c r="M26" s="186" t="s">
        <v>734</v>
      </c>
      <c r="N26" s="73"/>
      <c r="O26" s="96" t="s">
        <v>735</v>
      </c>
      <c r="P26" s="97" t="s">
        <v>237</v>
      </c>
      <c r="Q26" s="99" t="s">
        <v>736</v>
      </c>
      <c r="R26" s="100" t="s">
        <v>237</v>
      </c>
      <c r="S26" s="103" t="s">
        <v>866</v>
      </c>
      <c r="T26" s="104"/>
      <c r="U26" s="105" t="s">
        <v>866</v>
      </c>
      <c r="V26" s="105"/>
      <c r="W26" s="113" t="s">
        <v>867</v>
      </c>
      <c r="X26" s="114"/>
      <c r="Y26" s="115" t="s">
        <v>729</v>
      </c>
      <c r="Z26" s="115" t="s">
        <v>237</v>
      </c>
      <c r="AA26" s="116" t="s">
        <v>736</v>
      </c>
      <c r="AB26" s="117" t="s">
        <v>237</v>
      </c>
      <c r="AC26" s="115" t="s">
        <v>737</v>
      </c>
      <c r="AD26" s="115" t="s">
        <v>237</v>
      </c>
      <c r="AE26" s="119" t="s">
        <v>733</v>
      </c>
      <c r="AF26" s="118"/>
    </row>
    <row r="27" spans="1:32" ht="45" customHeight="1" x14ac:dyDescent="0.55000000000000004">
      <c r="A27" s="112" t="str">
        <f>_xlfn.CONCAT("DemoData27:  "&amp;('Program Config'!$C$30)&amp;"
DemoData72:  "&amp;('Program Config'!$C$31)&amp;"
URL:  "&amp;('Program Config'!$C$34)&amp;" ")</f>
        <v xml:space="preserve">DemoData27:  Nonce7
DemoData72:  Nocne8
URL:  https://www.linkedin.com/in/jo-ann-balsamo/ </v>
      </c>
      <c r="B27" s="141" t="str">
        <f>$A$27</f>
        <v xml:space="preserve">DemoData27:  Nonce7
DemoData72:  Nocne8
URL:  https://www.linkedin.com/in/jo-ann-balsamo/ </v>
      </c>
      <c r="D27" s="141" t="str">
        <f>$A$27</f>
        <v xml:space="preserve">DemoData27:  Nonce7
DemoData72:  Nocne8
URL:  https://www.linkedin.com/in/jo-ann-balsamo/ </v>
      </c>
      <c r="F27" s="141" t="str">
        <f>$A$27</f>
        <v xml:space="preserve">DemoData27:  Nonce7
DemoData72:  Nocne8
URL:  https://www.linkedin.com/in/jo-ann-balsamo/ </v>
      </c>
      <c r="H27" s="141" t="str">
        <f>$A$27</f>
        <v xml:space="preserve">DemoData27:  Nonce7
DemoData72:  Nocne8
URL:  https://www.linkedin.com/in/jo-ann-balsamo/ </v>
      </c>
      <c r="I27" s="143" t="str">
        <f>$A$28</f>
        <v>These components are not necessary</v>
      </c>
      <c r="J27" s="143" t="str">
        <f>$A$28</f>
        <v>These components are not necessary</v>
      </c>
      <c r="K27" s="143" t="str">
        <f>$A$28</f>
        <v>These components are not necessary</v>
      </c>
      <c r="L27" s="141" t="str">
        <f>$A$27</f>
        <v xml:space="preserve">DemoData27:  Nonce7
DemoData72:  Nocne8
URL:  https://www.linkedin.com/in/jo-ann-balsamo/ </v>
      </c>
      <c r="M27" s="143" t="str">
        <f>$A$28</f>
        <v>These components are not necessary</v>
      </c>
      <c r="O27" s="141" t="str">
        <f>$A$27</f>
        <v xml:space="preserve">DemoData27:  Nonce7
DemoData72:  Nocne8
URL:  https://www.linkedin.com/in/jo-ann-balsamo/ </v>
      </c>
      <c r="Q27" s="141" t="str">
        <f>$A$27</f>
        <v xml:space="preserve">DemoData27:  Nonce7
DemoData72:  Nocne8
URL:  https://www.linkedin.com/in/jo-ann-balsamo/ </v>
      </c>
      <c r="S27" s="141" t="str">
        <f>$A$27</f>
        <v xml:space="preserve">DemoData27:  Nonce7
DemoData72:  Nocne8
URL:  https://www.linkedin.com/in/jo-ann-balsamo/ </v>
      </c>
      <c r="U27" s="141" t="str">
        <f>$A$27</f>
        <v xml:space="preserve">DemoData27:  Nonce7
DemoData72:  Nocne8
URL:  https://www.linkedin.com/in/jo-ann-balsamo/ </v>
      </c>
      <c r="W27" s="141" t="str">
        <f>$A$27</f>
        <v xml:space="preserve">DemoData27:  Nonce7
DemoData72:  Nocne8
URL:  https://www.linkedin.com/in/jo-ann-balsamo/ </v>
      </c>
      <c r="Y27" s="141" t="str">
        <f>$A$27</f>
        <v xml:space="preserve">DemoData27:  Nonce7
DemoData72:  Nocne8
URL:  https://www.linkedin.com/in/jo-ann-balsamo/ </v>
      </c>
      <c r="AA27" s="141" t="str">
        <f>$A$27</f>
        <v xml:space="preserve">DemoData27:  Nonce7
DemoData72:  Nocne8
URL:  https://www.linkedin.com/in/jo-ann-balsamo/ </v>
      </c>
      <c r="AC27" s="141" t="str">
        <f>$A$27</f>
        <v xml:space="preserve">DemoData27:  Nonce7
DemoData72:  Nocne8
URL:  https://www.linkedin.com/in/jo-ann-balsamo/ </v>
      </c>
      <c r="AE27" s="141" t="str">
        <f>$A$27</f>
        <v xml:space="preserve">DemoData27:  Nonce7
DemoData72:  Nocne8
URL:  https://www.linkedin.com/in/jo-ann-balsamo/ </v>
      </c>
    </row>
    <row r="28" spans="1:32" ht="45" customHeight="1" x14ac:dyDescent="0.55000000000000004">
      <c r="A28" s="112" t="s">
        <v>430</v>
      </c>
      <c r="M28" s="61"/>
    </row>
    <row r="29" spans="1:32" s="15" customFormat="1" ht="45" customHeight="1" x14ac:dyDescent="0.55000000000000004">
      <c r="A29" s="34" t="s">
        <v>135</v>
      </c>
      <c r="B29" s="59" t="s">
        <v>954</v>
      </c>
      <c r="C29" s="60"/>
      <c r="D29" s="71" t="s">
        <v>954</v>
      </c>
      <c r="E29" s="72"/>
      <c r="F29" s="41" t="s">
        <v>955</v>
      </c>
      <c r="G29" s="42"/>
      <c r="H29" s="47" t="s">
        <v>956</v>
      </c>
      <c r="I29" s="48" t="s">
        <v>957</v>
      </c>
      <c r="J29" s="49" t="s">
        <v>958</v>
      </c>
      <c r="K29" s="50" t="s">
        <v>959</v>
      </c>
      <c r="L29" s="51" t="s">
        <v>960</v>
      </c>
      <c r="M29" s="186" t="s">
        <v>961</v>
      </c>
      <c r="N29" s="73"/>
      <c r="O29" s="96" t="s">
        <v>962</v>
      </c>
      <c r="P29" s="97" t="s">
        <v>237</v>
      </c>
      <c r="Q29" s="99" t="s">
        <v>963</v>
      </c>
      <c r="R29" s="100" t="s">
        <v>237</v>
      </c>
      <c r="S29" s="103" t="s">
        <v>964</v>
      </c>
      <c r="T29" s="104"/>
      <c r="U29" s="105" t="s">
        <v>964</v>
      </c>
      <c r="V29" s="105"/>
      <c r="W29" s="113" t="s">
        <v>965</v>
      </c>
      <c r="X29" s="114"/>
      <c r="Y29" s="115" t="s">
        <v>956</v>
      </c>
      <c r="Z29" s="115" t="s">
        <v>237</v>
      </c>
      <c r="AA29" s="116" t="s">
        <v>963</v>
      </c>
      <c r="AB29" s="117" t="s">
        <v>237</v>
      </c>
      <c r="AC29" s="115" t="s">
        <v>966</v>
      </c>
      <c r="AD29" s="115" t="s">
        <v>237</v>
      </c>
      <c r="AE29" s="119" t="s">
        <v>960</v>
      </c>
      <c r="AF29" s="118"/>
    </row>
    <row r="30" spans="1:32" ht="207.75" customHeight="1" x14ac:dyDescent="0.55000000000000004">
      <c r="A30" s="65" t="str">
        <f>_xlfn.CONCAT("DRAFT
Subject: "&amp;('Program Config'!$F$10)&amp;" / LATEST Platform &amp; Client AP Access
"&amp;IF('Program Contacts &amp; Kickoff'!$B$2&lt;&gt;"",_xlfn.CONCAT("TO: "&amp;_xlfn.TEXTJOIN("; ",TRUE,'Program Contacts &amp; Kickoff'!$E$2)&amp;""),""))&amp;"
CC:  "&amp;IF('Program Contacts &amp; Kickoff'!$E$3&lt;&gt;"",_xlfn.CONCAT(""&amp;_xlfn.TEXTJOIN("; ",TRUE,'Program Contacts &amp; Kickoff'!$E$3)&amp;""),"")&amp;IF(OR('Drop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
Good Morning "&amp;IF($A$31&lt;&gt;"",$A$31,"")&amp;",
"&amp;('Program Config'!$F$10)&amp;"’s build is completed – below are the links to access LATEST and the Client AP for your kickoff call. 
"&amp;('Program Config'!$F$10)&amp;" LATEST:  "&amp;('Program Config'!$C$49)&amp;"
Username: "&amp;('Program Config'!$C$52)&amp;" 
PW: DemoData + the 4-Digit Program ID Number
"&amp;('Program Config'!$F$10)&amp;" AP: "&amp;('Program Config'!$C$50)&amp;"
Username: "&amp;('Program Config'!$C$52)&amp;"
PW: DemoData + the 4-Digit Program ID Number
Please note: This client username and PW are for internal / demo purposes only – Please do not disseminate.
Thank you,"</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B30" s="141" t="str">
        <f>$A$30</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D30" s="141" t="str">
        <f>$A$30</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F30" s="141" t="str">
        <f>$A$30</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H30" s="141" t="str">
        <f t="shared" ref="H30:M30" si="0">$A$30</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I30" s="141" t="str">
        <f t="shared" si="0"/>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J30" s="141" t="str">
        <f t="shared" si="0"/>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K30" s="141" t="str">
        <f t="shared" si="0"/>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L30" s="141" t="str">
        <f t="shared" si="0"/>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M30" s="141" t="str">
        <f t="shared" si="0"/>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O30" s="141" t="str">
        <f>$A$30</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Q30" s="141" t="str">
        <f>$A$30</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S30" s="141" t="str">
        <f>$A$30</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U30" s="141" t="str">
        <f>$A$30</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W30" s="141" t="str">
        <f>$A$30</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Y30" s="141" t="str">
        <f>$A$30</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Z30" s="140"/>
      <c r="AA30" s="141" t="str">
        <f>$A$30</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AC30" s="141" t="str">
        <f>$A$30</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c r="AD30" s="140"/>
      <c r="AE30" s="141" t="str">
        <f>$A$30</f>
        <v>DRAFT
Subject: DEMO / LATEST Platform &amp; Client AP Access
TO: leah.adler@FakeDemoData.com
CC:  gavin.park@FakeDemoData.com; m.chen@demodata.com
BCC: victoria.lane@FakeDemoData.com
Good Morning Leah,
DEMO’s build is completed – below are the links to access LATEST and the Client AP for your kickoff call. 
DEMO LATEST:  https://www.linkedin.com/in/jo-ann-balsamo
Username: linkedin@PRODUCT4.com 
PW: DemoData + the 4-Digit Program ID Number
DEMO AP: https://www.linkedin.com/in//linkedin/AM
Username: linkedin@PRODUCT4.com
PW: DemoData + the 4-Digit Program ID Number
Please note: This client username and PW are for internal / demo purposes only – Please do not disseminate.
Thank you,</v>
      </c>
    </row>
    <row r="31" spans="1:32" ht="45" customHeight="1" x14ac:dyDescent="0.55000000000000004">
      <c r="A31" s="142" t="str">
        <f>IFERROR(LEFT('Program Contacts &amp; Kickoff'!$B$2,FIND(" ",'Program Contacts &amp; Kickoff'!$B$2)-1),'Program Contacts &amp; Kickoff'!$B$2)</f>
        <v>Leah</v>
      </c>
      <c r="B31" s="65" t="str">
        <f>_xlfn.CONCAT("DRAFT
Subject: "&amp;('Program Config'!$F$10)&amp;" / LATEST Platform &amp; Client AP Access"&amp;IF('Program Contacts &amp; Kickoff'!$B$2&lt;&gt;"",_xlfn.CONCAT("
TO: "&amp;_xlfn.TEXTJOIN("; ",TRUE,'Program Contacts &amp; Kickoff'!$E$2)&amp;""),""))&amp;"
CC:  "&amp;IF('Program Contacts &amp; Kickoff'!$E$3&lt;&gt;"",_xlfn.CONCAT(""&amp;_xlfn.TEXTJOIN("; ",TRUE,'Program Contacts &amp; Kickoff'!$E$3)&amp;""),"")&amp;IF(OR('Drop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f>
        <v>DRAFT
Subject: DEMO / LATEST Platform &amp; Client AP Access
TO: leah.adler@FakeDemoData.com
CC:  gavin.park@FakeDemoData.com; m.chen@demodata.com
BCC: victoria.lane@FakeDemoData.com</v>
      </c>
      <c r="D31" s="141" t="str">
        <f>$B$31</f>
        <v>DRAFT
Subject: DEMO / LATEST Platform &amp; Client AP Access
TO: leah.adler@FakeDemoData.com
CC:  gavin.park@FakeDemoData.com; m.chen@demodata.com
BCC: victoria.lane@FakeDemoData.com</v>
      </c>
      <c r="F31" s="141" t="str">
        <f>$B$31</f>
        <v>DRAFT
Subject: DEMO / LATEST Platform &amp; Client AP Access
TO: leah.adler@FakeDemoData.com
CC:  gavin.park@FakeDemoData.com; m.chen@demodata.com
BCC: victoria.lane@FakeDemoData.com</v>
      </c>
      <c r="H31" s="141" t="str">
        <f t="shared" ref="H31:M31" si="1">$B$31</f>
        <v>DRAFT
Subject: DEMO / LATEST Platform &amp; Client AP Access
TO: leah.adler@FakeDemoData.com
CC:  gavin.park@FakeDemoData.com; m.chen@demodata.com
BCC: victoria.lane@FakeDemoData.com</v>
      </c>
      <c r="I31" s="141" t="str">
        <f t="shared" si="1"/>
        <v>DRAFT
Subject: DEMO / LATEST Platform &amp; Client AP Access
TO: leah.adler@FakeDemoData.com
CC:  gavin.park@FakeDemoData.com; m.chen@demodata.com
BCC: victoria.lane@FakeDemoData.com</v>
      </c>
      <c r="J31" s="141" t="str">
        <f t="shared" si="1"/>
        <v>DRAFT
Subject: DEMO / LATEST Platform &amp; Client AP Access
TO: leah.adler@FakeDemoData.com
CC:  gavin.park@FakeDemoData.com; m.chen@demodata.com
BCC: victoria.lane@FakeDemoData.com</v>
      </c>
      <c r="K31" s="141" t="str">
        <f t="shared" si="1"/>
        <v>DRAFT
Subject: DEMO / LATEST Platform &amp; Client AP Access
TO: leah.adler@FakeDemoData.com
CC:  gavin.park@FakeDemoData.com; m.chen@demodata.com
BCC: victoria.lane@FakeDemoData.com</v>
      </c>
      <c r="L31" s="141" t="str">
        <f t="shared" si="1"/>
        <v>DRAFT
Subject: DEMO / LATEST Platform &amp; Client AP Access
TO: leah.adler@FakeDemoData.com
CC:  gavin.park@FakeDemoData.com; m.chen@demodata.com
BCC: victoria.lane@FakeDemoData.com</v>
      </c>
      <c r="M31" s="141" t="str">
        <f t="shared" si="1"/>
        <v>DRAFT
Subject: DEMO / LATEST Platform &amp; Client AP Access
TO: leah.adler@FakeDemoData.com
CC:  gavin.park@FakeDemoData.com; m.chen@demodata.com
BCC: victoria.lane@FakeDemoData.com</v>
      </c>
      <c r="O31" s="141" t="str">
        <f>$B$31</f>
        <v>DRAFT
Subject: DEMO / LATEST Platform &amp; Client AP Access
TO: leah.adler@FakeDemoData.com
CC:  gavin.park@FakeDemoData.com; m.chen@demodata.com
BCC: victoria.lane@FakeDemoData.com</v>
      </c>
      <c r="Q31" s="141" t="str">
        <f>$B$31</f>
        <v>DRAFT
Subject: DEMO / LATEST Platform &amp; Client AP Access
TO: leah.adler@FakeDemoData.com
CC:  gavin.park@FakeDemoData.com; m.chen@demodata.com
BCC: victoria.lane@FakeDemoData.com</v>
      </c>
      <c r="S31" s="141" t="str">
        <f>$B$31</f>
        <v>DRAFT
Subject: DEMO / LATEST Platform &amp; Client AP Access
TO: leah.adler@FakeDemoData.com
CC:  gavin.park@FakeDemoData.com; m.chen@demodata.com
BCC: victoria.lane@FakeDemoData.com</v>
      </c>
      <c r="U31" s="141" t="str">
        <f>$B$31</f>
        <v>DRAFT
Subject: DEMO / LATEST Platform &amp; Client AP Access
TO: leah.adler@FakeDemoData.com
CC:  gavin.park@FakeDemoData.com; m.chen@demodata.com
BCC: victoria.lane@FakeDemoData.com</v>
      </c>
      <c r="W31" s="141" t="str">
        <f>$B$31</f>
        <v>DRAFT
Subject: DEMO / LATEST Platform &amp; Client AP Access
TO: leah.adler@FakeDemoData.com
CC:  gavin.park@FakeDemoData.com; m.chen@demodata.com
BCC: victoria.lane@FakeDemoData.com</v>
      </c>
      <c r="Y31" s="141" t="str">
        <f>$B$31</f>
        <v>DRAFT
Subject: DEMO / LATEST Platform &amp; Client AP Access
TO: leah.adler@FakeDemoData.com
CC:  gavin.park@FakeDemoData.com; m.chen@demodata.com
BCC: victoria.lane@FakeDemoData.com</v>
      </c>
      <c r="Z31" s="140"/>
      <c r="AA31" s="141" t="str">
        <f>$B$31</f>
        <v>DRAFT
Subject: DEMO / LATEST Platform &amp; Client AP Access
TO: leah.adler@FakeDemoData.com
CC:  gavin.park@FakeDemoData.com; m.chen@demodata.com
BCC: victoria.lane@FakeDemoData.com</v>
      </c>
      <c r="AC31" s="141" t="str">
        <f>$B$31</f>
        <v>DRAFT
Subject: DEMO / LATEST Platform &amp; Client AP Access
TO: leah.adler@FakeDemoData.com
CC:  gavin.park@FakeDemoData.com; m.chen@demodata.com
BCC: victoria.lane@FakeDemoData.com</v>
      </c>
      <c r="AD31" s="140"/>
      <c r="AE31" s="141" t="str">
        <f>$B$31</f>
        <v>DRAFT
Subject: DEMO / LATEST Platform &amp; Client AP Access
TO: leah.adler@FakeDemoData.com
CC:  gavin.park@FakeDemoData.com; m.chen@demodata.com
BCC: victoria.lane@FakeDemoData.com</v>
      </c>
    </row>
    <row r="32" spans="1:32" s="15" customFormat="1" ht="45" customHeight="1" x14ac:dyDescent="0.55000000000000004">
      <c r="A32" s="34" t="s">
        <v>135</v>
      </c>
      <c r="B32" s="59" t="s">
        <v>967</v>
      </c>
      <c r="C32" s="60" t="s">
        <v>237</v>
      </c>
      <c r="D32" s="71" t="s">
        <v>968</v>
      </c>
      <c r="E32" s="72"/>
      <c r="F32" s="41" t="s">
        <v>969</v>
      </c>
      <c r="G32" s="42" t="s">
        <v>237</v>
      </c>
      <c r="H32" s="47" t="s">
        <v>970</v>
      </c>
      <c r="I32" s="48" t="s">
        <v>971</v>
      </c>
      <c r="J32" s="49" t="s">
        <v>972</v>
      </c>
      <c r="K32" s="50" t="s">
        <v>973</v>
      </c>
      <c r="L32" s="51" t="s">
        <v>974</v>
      </c>
      <c r="M32" s="186" t="s">
        <v>975</v>
      </c>
      <c r="N32" s="74" t="s">
        <v>237</v>
      </c>
      <c r="O32" s="96" t="s">
        <v>665</v>
      </c>
      <c r="P32" s="97" t="s">
        <v>237</v>
      </c>
      <c r="Q32" s="99" t="s">
        <v>666</v>
      </c>
      <c r="R32" s="100" t="s">
        <v>237</v>
      </c>
      <c r="S32" s="103" t="s">
        <v>976</v>
      </c>
      <c r="T32" s="104" t="s">
        <v>237</v>
      </c>
      <c r="U32" s="105" t="s">
        <v>976</v>
      </c>
      <c r="V32" s="105" t="s">
        <v>237</v>
      </c>
      <c r="W32" s="113" t="s">
        <v>977</v>
      </c>
      <c r="X32" s="114" t="s">
        <v>237</v>
      </c>
      <c r="Y32" s="115" t="s">
        <v>970</v>
      </c>
      <c r="Z32" s="115" t="s">
        <v>237</v>
      </c>
      <c r="AA32" s="116" t="s">
        <v>666</v>
      </c>
      <c r="AB32" s="117" t="s">
        <v>237</v>
      </c>
      <c r="AC32" s="115" t="s">
        <v>978</v>
      </c>
      <c r="AD32" s="115" t="s">
        <v>237</v>
      </c>
      <c r="AE32" s="119" t="s">
        <v>974</v>
      </c>
      <c r="AF32" s="118" t="s">
        <v>237</v>
      </c>
    </row>
    <row r="33" spans="1:32" ht="265.5" customHeight="1" x14ac:dyDescent="0.55000000000000004">
      <c r="B33" s="65" t="str">
        <f>_xlfn.CONCAT("DRAFT
Attach: XML + LMS1 Client DemoData727e
Subject: "&amp;('Program Config'!$F$10)&amp;" / DemoData.com LMS1 Integration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
"</f>
        <v xml:space="preserve">DRAFT
Attach: XML + LMS1 Client DemoData727e
Subject: DEMO / DemoData.com LMS1 Integration
TO: w.barnes@demodata.com; t.navarro@demodata.com; n.reed@demodata.com
CC:  leah.adler@FakeDemoData.com; gavin.park@FakeDemoData.com; m.chen@demodata.com
BCC: victoria.lane@FakeDemoData.com
</v>
      </c>
      <c r="C33" s="66"/>
      <c r="D33" s="65" t="str">
        <f>_xlfn.CONCAT("DRAFT
Attach: XML + LMS1 Client DemoData727e
Subject: "&amp;('Program Config'!$F$10)&amp;" / DemoData.com LMS1 Integration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
"</f>
        <v xml:space="preserve">DRAFT
Attach: XML + LMS1 Client DemoData727e
Subject: DEMO / DemoData.com LMS1 Integration
TO: w.barnes@demodata.com; t.navarro@demodata.com; n.reed@demodata.com
CC:  leah.adler@FakeDemoData.com; gavin.park@FakeDemoData.com; m.chen@demodata.com
BCC: victoria.lane@FakeDemoData.com
</v>
      </c>
      <c r="E33" s="66"/>
      <c r="F33" s="39" t="str">
        <f>_xlfn.CONCAT("DRAFT
Attach: XML + LM7 Client DemoData727e
Subject: "&amp;('Program Config'!$F$10)&amp;" / DemoData.com LM7 Integration
CC: "&amp;('Program Contacts &amp; Kickoff'!$E$2)&amp;"; "&amp;('Program Contacts &amp; Kickoff'!$E$3)&amp;"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
"</f>
        <v xml:space="preserve">DRAFT
Attach: XML + LM7 Client DemoData727e
Subject: DEMO / DemoData.com LM7 Integration
CC: leah.adler@FakeDemoData.com; gavin.park@FakeDemoData.com
TO: w.barnes@demodata.com; t.navarro@demodata.com; n.reed@demodata.com
CC:  leah.adler@FakeDemoData.com; gavin.park@FakeDemoData.com; m.chen@demodata.com
BCC: victoria.lane@FakeDemoData.com
</v>
      </c>
      <c r="G33" s="40"/>
      <c r="H33" s="55" t="str">
        <f>_xlfn.CONCAT("DRAFT
Attach: XML + LMS9/LMS8 Client DemoData727e
Subject: "&amp;('Program Config'!$F$10)&amp;" / DemoData.com LMS9/LMS8 Integration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
"</f>
        <v xml:space="preserve">DRAFT
Attach: XML + LMS9/LMS8 Client DemoData727e
Subject: DEMO / DemoData.com LMS9/LMS8 Integration
TO: w.barnes@demodata.com; t.navarro@demodata.com; n.reed@demodata.com
CC:  leah.adler@FakeDemoData.com; gavin.park@FakeDemoData.com; m.chen@demodata.com
BCC: victoria.lane@FakeDemoData.com
</v>
      </c>
      <c r="I33" s="55" t="str">
        <f>_xlfn.CONCAT("DRAFT
Attach: XML + Video + JLB Logo + Customzied DemoData727e
Subject: "&amp;('Program Config'!$F$10)&amp;" / DemoData.com LMS4 Implementation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
"</f>
        <v xml:space="preserve">DRAFT
Attach: XML + Video + JLB Logo + Customzied DemoData727e
Subject: DEMO / DemoData.com LMS4 Implementation
TO: w.barnes@demodata.com; t.navarro@demodata.com; n.reed@demodata.com
CC:  leah.adler@FakeDemoData.com; gavin.park@FakeDemoData.com; m.chen@demodata.com
BCC: victoria.lane@FakeDemoData.com
</v>
      </c>
      <c r="J33" s="55" t="str">
        <f>_xlfn.CONCAT("DRAFT
Attach: XML + JLB Logo + JLB GENINTEGRATION Integration Workflow
Subject: "&amp;('Program Config'!$F$10)&amp;" / DemoData.com GENINTEGRATION Implementation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
"</f>
        <v xml:space="preserve">DRAFT
Attach: XML + JLB Logo + JLB GENINTEGRATION Integration Workflow
Subject: DEMO / DemoData.com GENINTEGRATION Implementation
TO: w.barnes@demodata.com; t.navarro@demodata.com; n.reed@demodata.com
CC:  leah.adler@FakeDemoData.com; gavin.park@FakeDemoData.com; m.chen@demodata.com
BCC: victoria.lane@FakeDemoData.com
</v>
      </c>
      <c r="K33" s="55" t="str">
        <f>_xlfn.CONCAT("DRAFT
Attach: District ID Screenshot + Client WEB Logo (both within the BODY of the Type1)
Subject: "&amp;('Program Config'!$F$10)&amp;" / DemoData.com LMS3 Implementation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
"</f>
        <v xml:space="preserve">DRAFT
Attach: District ID Screenshot + Client WEB Logo (both within the BODY of the Type1)
Subject: DEMO / DemoData.com LMS3 Implementation
TO: w.barnes@demodata.com; t.navarro@demodata.com; n.reed@demodata.com
CC:  leah.adler@FakeDemoData.com; gavin.park@FakeDemoData.com; m.chen@demodata.com
BCC: victoria.lane@FakeDemoData.com
</v>
      </c>
      <c r="L33" s="55" t="str">
        <f>_xlfn.CONCAT("DRAFT
Attach: XML + LMS6 Client DemoData727e
Subject: "&amp;('Program Config'!$F$10)&amp;" / DemoData.com LMS6 Implementation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
"</f>
        <v xml:space="preserve">DRAFT
Attach: XML + LMS6 Client DemoData727e
Subject: DEMO / DemoData.com LMS6 Implementation
TO: w.barnes@demodata.com; t.navarro@demodata.com; n.reed@demodata.com
CC:  leah.adler@FakeDemoData.com; gavin.park@FakeDemoData.com; m.chen@demodata.com
BCC: victoria.lane@FakeDemoData.com
</v>
      </c>
      <c r="M33" s="65" t="str">
        <f>_xlfn.CONCAT("DRAFT
Attach:  Creating &amp; Loading Bulk DemoData + Bulk Upload file with Example
Subject: "&amp;('Program Config'!$F$10)&amp;" / DemoData.com LMS11 Integration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
"</f>
        <v xml:space="preserve">DRAFT
Attach:  Creating &amp; Loading Bulk DemoData + Bulk Upload file with Example
Subject: DEMO / DemoData.com LMS11 Integration
TO: w.barnes@demodata.com; t.navarro@demodata.com; n.reed@demodata.com
CC:  leah.adler@FakeDemoData.com; gavin.park@FakeDemoData.com; m.chen@demodata.com
BCC: victoria.lane@FakeDemoData.com
</v>
      </c>
      <c r="O33" s="65" t="str">
        <f>_xlfn.CONCAT("DRAFT
Attach: N/A
Subject: "&amp;('Program Config'!$F$10)&amp;" / DemoData.com LMS12 Integration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
"</f>
        <v xml:space="preserve">DRAFT
Attach: N/A
Subject: DEMO / DemoData.com LMS12 Integration
TO: w.barnes@demodata.com; t.navarro@demodata.com; n.reed@demodata.com
CC:  leah.adler@FakeDemoData.com; gavin.park@FakeDemoData.com; m.chen@demodata.com
BCC: victoria.lane@FakeDemoData.com
</v>
      </c>
      <c r="Q33" s="65" t="str">
        <f>_xlfn.CONCAT("DRAFT
Attach: LMS2 Client DemoData727e
Subject: "&amp;('Program Config'!$F$10)&amp;" / DemoData.com LMS2 Integration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
"</f>
        <v xml:space="preserve">DRAFT
Attach: LMS2 Client DemoData727e
Subject: DEMO / DemoData.com LMS2 Integration
TO: w.barnes@demodata.com; t.navarro@demodata.com; n.reed@demodata.com
CC:  leah.adler@FakeDemoData.com; gavin.park@FakeDemoData.com; m.chen@demodata.com
BCC: victoria.lane@FakeDemoData.com
</v>
      </c>
      <c r="S33" s="200" t="str">
        <f>IF('Program Config'!$H$2&lt;&gt;"GENINTEGRATION 31 Migration",_xlfn.CONCAT("DRAFT
Attach: JLB Client DemoData727e LMS1 GENINTEGRATION 31 + JSON
Subject: "&amp;('Program Config'!$F$10)&amp;" / DemoData.com LMS1 Integration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
",_xlfn.CONCAT("DRAFT
Attach: JLB Client DemoData727e LMS1 GENINTEGRATION 31 + JSON
Subject: "&amp;('Program Config'!$F$10)&amp;" / DemoData.com LMS1 GENINTEGRATION 31 Migration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
")</f>
        <v xml:space="preserve">DRAFT
Attach: JLB Client DemoData727e LMS1 GENINTEGRATION 31 + JSON
Subject: DEMO / DemoData.com LMS1 Integration
TO: w.barnes@demodata.com; t.navarro@demodata.com; n.reed@demodata.com
CC:  leah.adler@FakeDemoData.com; gavin.park@FakeDemoData.com; m.chen@demodata.com
BCC: victoria.lane@FakeDemoData.com
</v>
      </c>
      <c r="T33" s="66"/>
      <c r="U33" s="200" t="str">
        <f>IF('Program Config'!$H$2&lt;&gt;"GENINTEGRATION 31 Migration",_xlfn.CONCAT("DRAFT
Attach: JLB Client DemoData727e LMS1 GENINTEGRATION 31 + JSON
Subject: "&amp;('Program Config'!$F$10)&amp;" / DemoData.com LMS1 Integration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
",_xlfn.CONCAT("DRAFT
Attach: JLB Client DemoData727e LMS1 GENINTEGRATION 31 + JSON
Subject: "&amp;('Program Config'!$F$10)&amp;" / DemoData.com LMS1 GENINTEGRATION 31 Migration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
")</f>
        <v xml:space="preserve">DRAFT
Attach: JLB Client DemoData727e LMS1 GENINTEGRATION 31 + JSON
Subject: DEMO / DemoData.com LMS1 Integration
TO: w.barnes@demodata.com; t.navarro@demodata.com; n.reed@demodata.com
CC:  leah.adler@FakeDemoData.com; gavin.park@FakeDemoData.com; m.chen@demodata.com
BCC: victoria.lane@FakeDemoData.com
</v>
      </c>
      <c r="V33" s="66"/>
      <c r="W33" s="201" t="str">
        <f>IF('Program Config'!$H$2&lt;&gt;"GENINTEGRATION 31 Migration",_xlfn.CONCAT("DRAFT
Attach: Customized LMS7GENINTEGRATION 31 Client DemoData727e
Subject: "&amp;('Program Config'!$F$10)&amp;" / DemoData.com LM7 Integration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
",_xlfn.CONCAT("DRAFT
Attach: Customized LMS7GENINTEGRATION 31 Client DemoData727e
Subject: "&amp;('Program Config'!$F$10)&amp;" / DemoData.com LM7 GENINTEGRATION 31 Migration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
")</f>
        <v xml:space="preserve">DRAFT
Attach: Customized LMS7GENINTEGRATION 31 Client DemoData727e
Subject: DEMO / DemoData.com LM7 Integration
TO: w.barnes@demodata.com; t.navarro@demodata.com; n.reed@demodata.com
CC:  leah.adler@FakeDemoData.com; gavin.park@FakeDemoData.com; m.chen@demodata.com
BCC: victoria.lane@FakeDemoData.com
</v>
      </c>
      <c r="X33" s="40"/>
      <c r="Y33" s="200" t="str">
        <f>IF('Program Config'!$H$2&lt;&gt;"GENINTEGRATION 31 Migration",_xlfn.CONCAT("DRAFT
Attach: Customized JLB Client DemoData727e LMS8 GENINTEGRATION 31
Subject: "&amp;('Program Config'!$F$10)&amp;" / DemoData.com LMS9/LMS8 Integration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
",_xlfn.CONCAT("DRAFT
Attach: Customized LMS7GENINTEGRATION 31 Client DemoData727e
Subject: "&amp;('Program Config'!$F$10)&amp;" / DemoData.com LM7 GENINTEGRATION 31 Migration"))</f>
        <v xml:space="preserve">DRAFT
Attach: Customized JLB Client DemoData727e LMS8 GENINTEGRATION 31
Subject: DEMO / DemoData.com LMS9/LMS8 Integration
TO: w.barnes@demodata.com; t.navarro@demodata.com; n.reed@demodata.com
CC:  leah.adler@FakeDemoData.com; gavin.park@FakeDemoData.com; m.chen@demodata.com
BCC: victoria.lane@FakeDemoData.com
</v>
      </c>
      <c r="Z33" s="138"/>
      <c r="AA33" s="65" t="str">
        <f>_xlfn.CONCAT("DRAFT
Attach: LMS2 Client DemoData727e
Subject: "&amp;('Program Config'!$F$10)&amp;" / DemoData.com LMS2 Integration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
"</f>
        <v xml:space="preserve">DRAFT
Attach: LMS2 Client DemoData727e
Subject: DEMO / DemoData.com LMS2 Integration
TO: w.barnes@demodata.com; t.navarro@demodata.com; n.reed@demodata.com
CC:  leah.adler@FakeDemoData.com; gavin.park@FakeDemoData.com; m.chen@demodata.com
BCC: victoria.lane@FakeDemoData.com
</v>
      </c>
      <c r="AC33" s="200" t="str">
        <f>IF('Program Config'!$H$2&lt;&gt;"GENINTEGRATION 31 Migration",_xlfn.CONCAT("DRAFT
Attach: Customized JLB Client DemoData727e LMS5 GENINTEGRATION 31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
",
_xlfn.CONCAT("DRAFT
Attach:Customized JLB Client DemoData727e LMS5 GENINTEGRATION 31
Subject: "&amp;('Program Config'!$F$10)&amp;" / DemoData.com LMS5 GENINTEGRATION 31 Migration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
")</f>
        <v xml:space="preserve">DRAFT
Attach: Customized JLB Client DemoData727e LMS5 GENINTEGRATION 31
TO: w.barnes@demodata.com; t.navarro@demodata.com; n.reed@demodata.com
CC:  leah.adler@FakeDemoData.com; gavin.park@FakeDemoData.com; m.chen@demodata.com
BCC: victoria.lane@FakeDemoData.com
</v>
      </c>
      <c r="AD33" s="138"/>
      <c r="AE33" s="200" t="str">
        <f>IF('Program Config'!$H$2&lt;&gt;"GENINTEGRATION 31 Migration",_xlfn.CONCAT("DRAFT
Attach: Customized LMS6 Client DemoData727e
Subject: "&amp;('Program Config'!$F$10)&amp;" / DemoData.com LMS6 Integration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
",
_xlfn.CONCAT("DRAFT
Attach: Customized LMS6 Client DemoData727e
Subject: "&amp;('Program Config'!$F$10)&amp;" / DemoData.com LMS6 GENINTEGRATION 31 Migration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
")</f>
        <v xml:space="preserve">DRAFT
Attach: Customized LMS6 Client DemoData727e
Subject: DEMO / DemoData.com LMS6 Integration
TO: w.barnes@demodata.com; t.navarro@demodata.com; n.reed@demodata.com
CC:  leah.adler@FakeDemoData.com; gavin.park@FakeDemoData.com; m.chen@demodata.com
BCC: victoria.lane@FakeDemoData.com
</v>
      </c>
      <c r="AF33" s="40"/>
    </row>
    <row r="34" spans="1:32" ht="132" customHeight="1" x14ac:dyDescent="0.45">
      <c r="B34" s="61" t="str">
        <f>_xlfn.CONCAT("Good Morning,
My name is "&amp;('Program Contacts &amp; Kickoff'!$B$1)&amp;" and I’ll be your Implementation Manager at DemoData.com, it’s nice to meet you virtually. If you could please pass this along to your LMS1 LMS AMistrator to set up the integration that would be great!")</f>
        <v>Good Morning,
My name is Victoria Lane and I’ll be your Implementation Manager at DemoData.com, it’s nice to meet you virtually. If you could please pass this along to your LMS1 LMS AMistrator to set up the integration that would be great!</v>
      </c>
      <c r="D34" s="61" t="str">
        <f>_xlfn.CONCAT("Good Morning,
My name is "&amp;('Program Contacts &amp; Kickoff'!$B$1)&amp;" and I’ll be your Implementation Manager at DemoData.com, it’s nice to meet you virtually. If you could please pass this along to your LMS1 LMS AMistrator to set up the integration that would be great!")</f>
        <v>Good Morning,
My name is Victoria Lane and I’ll be your Implementation Manager at DemoData.com, it’s nice to meet you virtually. If you could please pass this along to your LMS1 LMS AMistrator to set up the integration that would be great!</v>
      </c>
      <c r="F34" s="45" t="s">
        <v>879</v>
      </c>
      <c r="G34" s="46"/>
      <c r="H34" s="53" t="s">
        <v>905</v>
      </c>
      <c r="I34" s="53" t="s">
        <v>712</v>
      </c>
      <c r="J34" s="53" t="s">
        <v>979</v>
      </c>
      <c r="K34" s="53" t="s">
        <v>621</v>
      </c>
      <c r="L34" s="53" t="str">
        <f>_xlfn.CONCAT("Good Morning,
My name is "&amp;('Program Contacts &amp; Kickoff'!$B$1)&amp;" and I’ll be your Implementation Manager at DemoData.com, it’s nice to meet you virtually. Please feel free to forward this Type1 onto your LMS6 AM or IT staff that will be setting up the DemoData.com integration.
")</f>
        <v xml:space="preserve">Good Morning,
My name is Victoria Lane and I’ll be your Implementation Manager at DemoData.com, it’s nice to meet you virtually. Please feel free to forward this Type1 onto your LMS6 AM or IT staff that will be setting up the DemoData.com integration.
</v>
      </c>
      <c r="M34" s="61" t="s">
        <v>755</v>
      </c>
      <c r="N34" s="317" t="str">
        <f>HYPERLINK(_xlfn.CONCAT("http://www.DemoData.com"&amp;(Concats!$A$8)&amp;""))</f>
        <v>http://www.DemoData.com/linkedin/</v>
      </c>
      <c r="O34" s="61" t="str">
        <f>_xlfn.CONCAT(_xlfn._LONGTEXT("Good Morning,
Thank you, in advance, for your efforts in helping us to integrate DemoData.com as an GENINTEGRATION 22 tool link into your LMS12 learning management system. 
Below is the DemoData27/DemoData72 for you to make the connection to our service","."))</f>
        <v>Good Morning,
Thank you, in advance, for your efforts in helping us to integrate DemoData.com as an GENINTEGRATION 22 tool link into your LMS12 learning management system. 
Below is the DemoData27/DemoData72 for you to make the connection to our service.</v>
      </c>
      <c r="P34" s="246"/>
      <c r="Q34" s="65" t="str">
        <f>_xlfn.CONCAT("Good Morning,
I was able to create the DemoData.com site for "&amp;('Program Config'!$F$10)&amp;" and below is what you’ll need to set up SSO access to our service as an “GENINTEGRATION Application” in LMS2. MARKET2 you can reference some helpful screenshots to help support the integration. 
     • Launch URL: "&amp;('Program Config'!$C$34&amp;""))</f>
        <v>Good Morning,
I was able to create the DemoData.com site for DEMO and below is what you’ll need to set up SSO access to our service as an “GENINTEGRATION Application” in LMS2. MARKET2 you can reference some helpful screenshots to help support the integration. 
     • Launch URL: https://www.linkedin.com/in/jo-ann-balsamo/</v>
      </c>
      <c r="R34" s="246"/>
      <c r="S34" s="200" t="str">
        <f>IF('Program Config'!$H$2&lt;&gt;"GENINTEGRATION 31 Migration",_xlfn.CONCAT(""&amp;"Good Morning,
Thank you, in advance, for helping us integrate DemoData.com as an GENINTEGRATION tool in your LMS1 LMS.
")&amp;"",_xlfn.CONCAT(""&amp;"Good Morning,
I’m "&amp;('Program Contacts &amp; Kickoff'!$B$1)&amp;" and I am your DemoData.com Implementation Manager. To stay at the forefront of EdTech industry standards, and to best support our clients, DemoData.com has started the process to migrate all GENINTEGRATION 22 program integrations to GENINTEGRATION 31. "&amp;"You are receiving this Type1 because you have been identified as the technical contact who can assist with this process and I am happy to partner with you to complete the set up in your LMS."&amp;" 
FAQs:
1.	Why do we need to migrate to GENINTEGRATION 31?  The 1EdTech GENINTEGRATION 31 standard offers enhanced security, a simpler upgrade DemoData2h, and a single registration option. "&amp;"You can learn more about GENINTEGRATION 31 at this link: https://www.linkedin.com/in/jo-ann-balsamo"&amp;"
2.	Will there be a DemoData.com service disruption during the migration? No, you can continue to use your current GENINTEGRATION 22 integration until we have completed and tested the GENINTEGRATION 31 configuration."&amp;"
3.	Will the migration impact reporting? No, we will mirror the attribute mapping in your current GENINTEGRATION 22 integration when we configure your new GENINTEGRATION 31 integration."&amp;"
4.	How is the GENINTEGRATION 31 set up different from the GENINTEGRATION 22 set up?"&amp;" The GENINTEGRATION 31 set up requires specific pieces of information from your LMS for OA that were not part of the GENINTEGRATION 22 setup; we will provide step by step instructions to walk you through the entire process from end to end. "&amp;"
5.	Is the migration time-consuming? No, a typical migration can be completed in as little as one day with approximately 30-90 'actual hands-on' minutes."&amp;"
6.	Can I choose to keep my current 22 integration and NOT migrate to 31? No, 1EdTech has deprecated support for GENINTEGRATION 22 and all integrations must be migrated to 31."&amp;"
To get started, please follow the instructions below and in the attachment."&amp;""))</f>
        <v xml:space="preserve">Good Morning,
Thank you, in advance, for helping us integrate DemoData.com as an GENINTEGRATION tool in your LMS1 LMS.
</v>
      </c>
      <c r="U34" s="200" t="str">
        <f>IF('Program Config'!$H$2&lt;&gt;"GENINTEGRATION 31 Migration",_xlfn.CONCAT(""&amp;"Good Morning,
Thank you, in advance, for helping us integrate DemoData.com as an GENINTEGRATION tool in your LMS1 LMS.
")&amp;"",_xlfn.CONCAT(""&amp;"Good Morning,
I’m "&amp;('Program Contacts &amp; Kickoff'!$B$1)&amp;" and I am your DemoData.com Implementation Manager. To stay at the forefront of EdTech industry standards, and to best support our clients, DemoData.com has started the process to migrate all GENINTEGRATION 22 program integrations to GENINTEGRATION 31. "&amp;"You are receiving this Type1 because you have been identified as the technical contact who can assist with this process and I am happy to partner with you to complete the set up in your LMS."&amp;" 
FAQs:
1.	Why do we need to migrate to GENINTEGRATION 31?  The 1EdTech GENINTEGRATION 31 standard offers enhanced security, a simpler upgrade DemoData2h, and a single registration option. "&amp;"You can learn more about GENINTEGRATION 31 at this link: https://www.linkedin.com/in/jo-ann-balsamo"&amp;"
2.	Will there be a DemoData.com service disruption during the migration? No, you can continue to use your current GENINTEGRATION 22 integration until we have completed and tested the GENINTEGRATION 31 configuration."&amp;"
3.	Will the migration impact reporting? No, we will mirror the attribute mapping in your current GENINTEGRATION 22 integration when we configure your new GENINTEGRATION 31 integration."&amp;"
4.	How is the GENINTEGRATION 31 set up different from the GENINTEGRATION 22 set up?"&amp;" The GENINTEGRATION 31 set up requires specific pieces of information from your LMS for OA that were not part of the GENINTEGRATION 22 setup; we will provide step by step instructions to walk you through the entire process from end to end. "&amp;"
5.	Is the migration time-consuming? No, a typical migration can be completed in as little as one day with approximately 30-90 'actual hands-on' minutes."&amp;"
6.	Can I choose to keep my current 22 integration and NOT migrate to 31? No, 1EdTech has deprecated support for GENINTEGRATION 22 and all integrations must be migrated to 31."&amp;"
To get started, please follow the instructions below and in the attachment."&amp;""))</f>
        <v xml:space="preserve">Good Morning,
Thank you, in advance, for helping us integrate DemoData.com as an GENINTEGRATION tool in your LMS1 LMS.
</v>
      </c>
      <c r="W34" s="202" t="str">
        <f>IF('Program Config'!$H$2&lt;&gt;"GENINTEGRATION 31 Migration",_xlfn.CONCAT(""&amp;"Good Morning,
My name is "&amp;('Program Contacts &amp; Kickoff'!$B$1)&amp;" and I am your DemoData.com Implementation Manager; it’s nice to meet you virtually!"&amp;"
Thank you, in advance, for helping us integrate DemoData.com as an GENINTEGRATION 31 tool in your LM7 LMS.")&amp;
"",_xlfn.CONCAT(""&amp;"Good Morning,
I’m "&amp;('Program Contacts &amp; Kickoff'!$B$1)&amp;" and I am your DemoData.com Implementation Manager. To stay at the forefront of EdTech industry standards, and to best support our clients, DemoData.com has started the process to migrate all GENINTEGRATION 22 program integrations to GENINTEGRATION 31. "&amp;"You are receiving this Type1 because you have been identified as the technical contact who can assist with this process and I am happy to partner with you to complete the set up in your LMS."&amp;" 
FAQs:
1.	Why do we need to migrate to GENINTEGRATION 31?  The 1EdTech GENINTEGRATION 31 standard offers enhanced security, a simpler upgrade DemoData2h, and a single registration option. "&amp;"You can learn more about GENINTEGRATION 31 at this link: https://www.linkedin.com/in/jo-ann-balsamo"&amp;"
2.	Will there be a DemoData.com service disruption during the migration? No, you can continue to use your current GENINTEGRATION 22 integration until we have completed and tested the GENINTEGRATION 31 configuration."&amp;"
3.	Will the migration impact reporting? No, we will mirror the attribute mapping in your current GENINTEGRATION 22 integration when we configure your new GENINTEGRATION 31 integration."&amp;"
4.	How is the GENINTEGRATION 31 set up different from the GENINTEGRATION 22 set up?"&amp;" The GENINTEGRATION 31 set up requires specific pieces of information from your LMS for OA that were not part of the GENINTEGRATION 22 setup; we will provide step by step instructions to walk you through the entire process from end to end. "&amp;"
5.	Is the migration time-consuming? No, a typical migration can be completed in as little as one day with approximately 30-90 'actual hands-on' minutes."&amp;"
6.	Can I choose to keep my current 22 integration and NOT migrate to 31? No, 1EdTech has deprecated support for GENINTEGRATION 22 and all integrations must be migrated to 31."&amp;"
To get started, please follow the instructions below and in the attachment."&amp;""))</f>
        <v>Good Morning,
My name is Victoria Lane and I am your DemoData.com Implementation Manager; it’s nice to meet you virtually!
Thank you, in advance, for helping us integrate DemoData.com as an GENINTEGRATION 31 tool in your LM7 LMS.</v>
      </c>
      <c r="X34" s="46"/>
      <c r="Y34" s="200" t="str">
        <f>IF('Program Config'!$H$2&lt;&gt;"GENINTEGRATION 31 Migration",_xlfn.CONCAT(""&amp;"Good Morning,
My name is "&amp;('Program Contacts &amp; Kickoff'!$B$1)&amp;" and I am your DemoData.com Implementation Manager; it’s nice to meet you virtually!"&amp;"
Thank you, in advance, for helping us integrate DemoData.com as an GENINTEGRATION tool in your LMS9/LMS8 LMS.  The MARKET2 Client DemoData727e has the information you will need to complete the set up.")&amp;
"",_xlfn.CONCAT(""&amp;"Good Morning,
I’m "&amp;('Program Contacts &amp; Kickoff'!$B$1)&amp;" and I am your DemoData.com Implementation Manager. To stay at the forefront of EdTech industry standards, and to best support our clients, DemoData.com has started the process to migrate all GENINTEGRATION 22 program integrations to GENINTEGRATION 31. "&amp;"You are receiving this Type1 because you have been identified as the technical contact who can assist with this process and I am happy to partner with you to complete the set up in your LMS."&amp;" 
FAQs:
1.	Why do we need to migrate to GENINTEGRATION 31?  The 1EdTech GENINTEGRATION 31 standard offers enhanced security, a simpler upgrade DemoData2h, and a single registration option. "&amp;"You can learn more about GENINTEGRATION 31 at this link: https://www.linkedin.com/in/jo-ann-balsamo"&amp;"
2.	Will there be a DemoData.com service disruption during the migration? No, you can continue to use your current GENINTEGRATION 22 integration until we have completed and tested the GENINTEGRATION 31 configuration."&amp;"
3.	Will the migration impact reporting? No, we will mirror the attribute mapping in your current GENINTEGRATION 22 integration when we configure your new GENINTEGRATION 31 integration."&amp;"
4.	How is the GENINTEGRATION 31 set up different from the GENINTEGRATION 22 set up?"&amp;" The GENINTEGRATION 31 set up requires specific pieces of information from your LMS for OA that were not part of the GENINTEGRATION 22 setup; we will provide step by step instructions to walk you through the entire process from end to end. "&amp;"
5.	Is the migration time-consuming? No, a typical migration can be completed in as little as one day with approximately 30-90 'actual hands-on' minutes."&amp;"
6.	Can I choose to keep my current 22 integration and NOT migrate to 31? No, 1EdTech has deprecated support for GENINTEGRATION 22 and all integrations must be migrated to 31."&amp;"
To get started, please follow the instructions below and in the attachment."&amp;""))</f>
        <v>Good Morning,
My name is Victoria Lane and I am your DemoData.com Implementation Manager; it’s nice to meet you virtually!
Thank you, in advance, for helping us integrate DemoData.com as an GENINTEGRATION tool in your LMS9/LMS8 LMS.  The MARKET2 Client DemoData727e has the information you will need to complete the set up.</v>
      </c>
      <c r="Z34" s="139"/>
      <c r="AA34" s="65" t="str">
        <f>_xlfn.CONCAT("Good Morning,
I was able to create the DemoData.com site for "&amp;('Program Config'!$F$10)&amp;" and below is what you’ll need to set up SSO access to our service as an “GENINTEGRATION Application” in LMS2. MARKET2 you can reference some helpful screenshots to help support the integration.
      • Launch URL: "&amp;('Program Config'!$C$34&amp;""))</f>
        <v>Good Morning,
I was able to create the DemoData.com site for DEMO and below is what you’ll need to set up SSO access to our service as an “GENINTEGRATION Application” in LMS2. MARKET2 you can reference some helpful screenshots to help support the integration.
      • Launch URL: https://www.linkedin.com/in/jo-ann-balsamo/</v>
      </c>
      <c r="AB34" s="246"/>
      <c r="AC34" s="200" t="str">
        <f>IF('Program Config'!$H$2&lt;&gt;"GENINTEGRATION 31 Migration",_xlfn.CONCAT(""&amp;"Good Morning,
My name is "&amp;('Program Contacts &amp; Kickoff'!$B$1)&amp;" and I am your DemoData.com Implementation Manager; it’s nice to meet you virtually!"&amp;"
Thank you, in advance, for helping us integrate DemoData.com as an GENINTEGRATION tool in your LMS5 LMS.  The N37MARKET2 Client DemoData727e has the information you will need to complete the set up.")&amp;
"",_xlfn.CONCAT(""&amp;"Good Morning,
I’m "&amp;('Program Contacts &amp; Kickoff'!$B$1)&amp;" and I am your DemoData.com Implementation Manager. To stay at the forefront of EdTech industry standards, and to best support our clients, DemoData.com has started the process to migrate all GENINTEGRATION 22 program integrations to GENINTEGRATION 31. "&amp;"You are receiving this Type1 because you have been identified as the technical contact who can assist with this process and I am happy to partner with you to complete the set up in your LMS."&amp;" 
FAQs:
1.	Why do we need to migrate to GENINTEGRATION 31?  The 1EdTech GENINTEGRATION 31 standard offers enhanced security, a simpler upgrade DemoData2h, and a single registration option. "&amp;"You can learn more about GENINTEGRATION 31 at this link: https://www.linkedin.com/in/jo-ann-balsamo"&amp;"
2.	Will there be a DemoData.com service disruption during the migration? No, you can continue to use your current GENINTEGRATION 22 integration until we have completed and tested the GENINTEGRATION 31 configuration."&amp;"
3.	Will the migration impact reporting? No, we will mirror the attribute mapping in your current GENINTEGRATION 22 integration when we configure your new GENINTEGRATION 31 integration."&amp;"
4.	How is the GENINTEGRATION 31 set up different from the GENINTEGRATION 22 set up?"&amp;" The GENINTEGRATION 31 set up requires specific pieces of information from your LMS for OA that were not part of the GENINTEGRATION 22 setup; we will provide step by step instructions to walk you through the entire process from end to end. "&amp;"
5.	Is the migration time-consuming? No, a typical migration can be completed in as little as one day with approximately 30-90 'actual hands-on' minutes."&amp;"
6.	Can I choose to keep my current 22 integration and NOT migrate to 31? No, 1EdTech has deprecated support for GENINTEGRATION 22 and all integrations must be migrated to 31."&amp;"
To get started, please follow the instructions below and in the attachment."&amp;""))</f>
        <v>Good Morning,
My name is Victoria Lane and I am your DemoData.com Implementation Manager; it’s nice to meet you virtually!
Thank you, in advance, for helping us integrate DemoData.com as an GENINTEGRATION tool in your LMS5 LMS.  The N37MARKET2 Client DemoData727e has the information you will need to complete the set up.</v>
      </c>
      <c r="AD34" s="139"/>
      <c r="AE34" s="203" t="str">
        <f>IF('Program Config'!$H$2&lt;&gt;"GENINTEGRATION 31 Migration",_xlfn.CONCAT(""&amp;"Good Morning,
My name is "&amp;('Program Contacts &amp; Kickoff'!$B$1)&amp;" and I am your DemoData.com Implementation Manager; it’s nice to meet you virtually!"&amp;"
Thank you, in advance, for helping us integrate DemoData.com as an GENINTEGRATION tool in LMS6.  The MARKET2 Client DemoData727e has the information you will need to complete the set up.")&amp;
"",_xlfn.CONCAT(""&amp;"Good Morning,
I’m "&amp;('Program Contacts &amp; Kickoff'!$B$1)&amp;" and I am your DemoData.com Implementation Manager. To stay at the forefront of EdTech industry standards, and to best support our clients, DemoData.com has started the process to migrate all GENINTEGRATION 22 program integrations to GENINTEGRATION 31. "&amp;"You are receiving this Type1 because you have been identified as the technical contact who can assist with this process and I am happy to partner with you to complete the set up in your LMS."&amp;" 
FAQs:
1.	Why do we need to migrate to GENINTEGRATION 31?  The 1EdTech GENINTEGRATION 31 standard offers enhanced security, a simpler upgrade DemoData2h, and a single registration option. "&amp;"You can learn more about GENINTEGRATION 31 at this link: https://www.linkedin.com/in/jo-ann-balsamo"&amp;"
2.	Will there be a DemoData.com service disruption during the migration? No, you can continue to use your current GENINTEGRATION 22 integration until we have completed and tested the GENINTEGRATION 31 configuration."&amp;"
3.	Will the migration impact reporting? No, we will mirror the attribute mapping in your current GENINTEGRATION 22 integration when we configure your new GENINTEGRATION 31 integration."&amp;"
4.	How is the GENINTEGRATION 31 set up different from the GENINTEGRATION 22 set up?"&amp;" The GENINTEGRATION 31 set up requires specific pieces of information from your LMS for OA that were not part of the GENINTEGRATION 22 setup; we will provide step by step instructions to walk you through the entire process from end to end. "&amp;"
5.	Is the migration time-consuming? No, a typical migration can be completed in as little as one day with approximately 30-90 'actual hands-on' minutes."&amp;"
6.	Can I choose to keep my current 22 integration and NOT migrate to 31? No, 1EdTech has deprecated support for GENINTEGRATION 22 and all integrations must be migrated to 31."&amp;"
To get started, please follow the instructions below and in the attachment."&amp;""))</f>
        <v>Good Morning,
My name is Victoria Lane and I am your DemoData.com Implementation Manager; it’s nice to meet you virtually!
Thank you, in advance, for helping us integrate DemoData.com as an GENINTEGRATION tool in LMS6.  The MARKET2 Client DemoData727e has the information you will need to complete the set up.</v>
      </c>
      <c r="AF34" s="46"/>
    </row>
    <row r="35" spans="1:32" ht="45" customHeight="1" x14ac:dyDescent="0.55000000000000004">
      <c r="B35" s="61" t="str">
        <f>_xlfn.CONCAT("Thanks in advance for your efforts helping us to integrate DemoData.com as an GENINTEGRATION tool link into your LMS1 Learning Management System.
To set up DemoData.com as an "&amp;($A$1)&amp;"External App"&amp;($A$1)&amp;" in LMS1, we recommend the manual "&amp;($A$1)&amp;"Paste XML"&amp;($A$1)&amp;" method. Please see the MARKET2 XML that you can use to connect to your dedicated DemoData.com program/site.  ")</f>
        <v xml:space="preserve">Thanks in advance for your efforts helping us to integrate DemoData.com as an GENINTEGRATION tool link into your LMS1 Learning Management System.
To set up DemoData.com as an "External App" in LMS1, we recommend the manual "Paste XML" method. Please see the MARKET2 XML that you can use to connect to your dedicated DemoData.com program/site.  </v>
      </c>
      <c r="D35" s="61" t="str">
        <f>_xlfn.CONCAT("Thanks in advance for your efforts helping us to integrate DemoData.com as an GENINTEGRATION tool link into your LMS1 Learning Management System.
To set up DemoData.com as an "&amp;($A$1)&amp;"External App"&amp;($A$1)&amp;" in LMS1, we recommend the manual "&amp;($A$1)&amp;"Paste XML"&amp;($A$1)&amp;" method. Please see the MARKET2 XML that you can use to connect to your dedicated DemoData.com program/site.  ")</f>
        <v xml:space="preserve">Thanks in advance for your efforts helping us to integrate DemoData.com as an GENINTEGRATION tool link into your LMS1 Learning Management System.
To set up DemoData.com as an "External App" in LMS1, we recommend the manual "Paste XML" method. Please see the MARKET2 XML that you can use to connect to your dedicated DemoData.com program/site.  </v>
      </c>
      <c r="F35" s="35" t="s">
        <v>825</v>
      </c>
      <c r="H35" s="53" t="s">
        <v>604</v>
      </c>
      <c r="I35" s="53" t="s">
        <v>431</v>
      </c>
      <c r="J35" s="53" t="str">
        <f>'Program Config'!$F$10</f>
        <v>DEMO</v>
      </c>
      <c r="K35" s="607" t="str">
        <f>HYPERLINK("https://www.linkedin.com/in/jo-ann-balsamo", "click here")</f>
        <v>click here</v>
      </c>
      <c r="L35" s="53" t="s">
        <v>826</v>
      </c>
      <c r="M35" s="318" t="str">
        <f>HYPERLINK(_xlfn.CONCAT($N$34),"www.DemoData.com"&amp;(Concats!$A$8)&amp;"")</f>
        <v>www.DemoData.com/linkedin/</v>
      </c>
      <c r="O35" s="61" t="str">
        <f>_xlfn.CONCAT("DemoData27:  "&amp;('Program Config'!$C$30)&amp;"
DemoData72:  "&amp;('Program Config'!$C$31)&amp;"
URL:  "&amp;('Program Config'!$C$34)&amp;" ")</f>
        <v xml:space="preserve">DemoData27:  Nonce7
DemoData72:  Nocne8
URL:  https://www.linkedin.com/in/jo-ann-balsamo/ </v>
      </c>
      <c r="Q35" s="65" t="str">
        <f>_xlfn.CONCAT("     • OA Consumer DemoData27: "&amp;('Program Config'!$C$30&amp;""))</f>
        <v xml:space="preserve">     • OA Consumer DemoData27: Nonce7</v>
      </c>
      <c r="S35" s="200" t="str">
        <f>_xlfn.CONCAT("
To set up DemoData.com as an External App in LMS1, we recommend the "&amp;($A$1)&amp;"Paste JSON"&amp;($A$1)&amp;" method. Please use the MARKET2 JSON to connect to your dedicated DemoData.com program. "&amp;"
You will also have to paste a redirect link into LMS1.  The redirect link is: "&amp;('Program Config'!$C$34)&amp;"")</f>
        <v xml:space="preserve">
To set up DemoData.com as an External App in LMS1, we recommend the "Paste JSON" method. Please use the MARKET2 JSON to connect to your dedicated DemoData.com program. 
You will also have to paste a redirect link into LMS1.  The redirect link is: https://www.linkedin.com/in/jo-ann-balsamo/</v>
      </c>
      <c r="U35" s="200" t="str">
        <f>_xlfn.CONCAT("
To set up DemoData.com as an External App in LMS1, we recommend the "&amp;($A$1)&amp;"Paste JSON"&amp;($A$1)&amp;" method. Please use the MARKET2 JSON to connect to your dedicated DemoData.com program. "&amp;"
You will also have to paste a redirect link into LMS1.  The redirect link is: "&amp;('Program Config'!$C$34)&amp;"")</f>
        <v xml:space="preserve">
To set up DemoData.com as an External App in LMS1, we recommend the "Paste JSON" method. Please use the MARKET2 JSON to connect to your dedicated DemoData.com program. 
You will also have to paste a redirect link into LMS1.  The redirect link is: https://www.linkedin.com/in/jo-ann-balsamo/</v>
      </c>
      <c r="W35" s="35" t="s">
        <v>765</v>
      </c>
      <c r="Y35" s="61" t="s">
        <v>980</v>
      </c>
      <c r="Z35" s="140"/>
      <c r="AA35" s="65" t="str">
        <f>_xlfn.CONCAT("     • OA Consumer DemoData27: "&amp;('Program Config'!$C$30&amp;""))</f>
        <v xml:space="preserve">     • OA Consumer DemoData27: Nonce7</v>
      </c>
      <c r="AC35" s="61" t="s">
        <v>981</v>
      </c>
      <c r="AD35" s="140"/>
      <c r="AE35" s="53" t="s">
        <v>982</v>
      </c>
    </row>
    <row r="36" spans="1:32" ht="45" customHeight="1" x14ac:dyDescent="0.55000000000000004">
      <c r="A36" s="248"/>
      <c r="B36" s="61" t="str">
        <f>_xlfn.CONCAT("Below is the DemoData27/DemoData72 for you to make the connection to our service. This XML will deploy our app across all courses or whatever level you choose to install it.")</f>
        <v>Below is the DemoData27/DemoData72 for you to make the connection to our service. This XML will deploy our app across all courses or whatever level you choose to install it.</v>
      </c>
      <c r="D36" s="61" t="str">
        <f>_xlfn.CONCAT("Below is the DemoData27/DemoData72 for you to make the connection to our service. This XML will deploy our app across all courses or whatever level you choose to install it.")</f>
        <v>Below is the DemoData27/DemoData72 for you to make the connection to our service. This XML will deploy our app across all courses or whatever level you choose to install it.</v>
      </c>
      <c r="F36" s="249" t="str">
        <f>(HYPERLINK(_xlfn.CONCAT($G$36),"Click HERE"&amp;"."))</f>
        <v>Click HERE.</v>
      </c>
      <c r="G36" s="250" t="s">
        <v>610</v>
      </c>
      <c r="H36" s="53" t="s">
        <v>432</v>
      </c>
      <c r="I36" s="53" t="s">
        <v>831</v>
      </c>
      <c r="J36" s="53" t="s">
        <v>832</v>
      </c>
      <c r="K36" s="53" t="s">
        <v>433</v>
      </c>
      <c r="M36" s="61" t="s">
        <v>434</v>
      </c>
      <c r="O36" s="61" t="s">
        <v>435</v>
      </c>
      <c r="P36" s="246"/>
      <c r="Q36" s="65" t="str">
        <f>_xlfn.CONCAT("     • OA Consumer DemoData72: "&amp;('Program Config'!$C$31&amp;""))</f>
        <v xml:space="preserve">     • OA Consumer DemoData72: Nocne8</v>
      </c>
      <c r="R36" s="246"/>
      <c r="S36" s="61" t="str">
        <f>_xlfn.CONCAT("In order to complete the configuration, we will need 2 pieces of information from your set up:")</f>
        <v>In order to complete the configuration, we will need 2 pieces of information from your set up:</v>
      </c>
      <c r="U36" s="61" t="str">
        <f>_xlfn.CONCAT("In order to complete the configuration, we will need 2 pieces of information from your set up:")</f>
        <v>In order to complete the configuration, we will need 2 pieces of information from your set up:</v>
      </c>
      <c r="W36" s="35">
        <f>'Program Config'!$N$30</f>
        <v>0</v>
      </c>
      <c r="Y36" s="61" t="s">
        <v>436</v>
      </c>
      <c r="Z36" s="140"/>
      <c r="AA36" s="65" t="str">
        <f>_xlfn.CONCAT("     • OA Consumer DemoData72: "&amp;('Program Config'!$C$31&amp;""))</f>
        <v xml:space="preserve">     • OA Consumer DemoData72: Nocne8</v>
      </c>
      <c r="AB36" s="246"/>
      <c r="AC36" s="61" t="s">
        <v>436</v>
      </c>
      <c r="AD36" s="140"/>
      <c r="AF36" s="250" t="s">
        <v>610</v>
      </c>
    </row>
    <row r="37" spans="1:32" ht="45" customHeight="1" x14ac:dyDescent="0.55000000000000004">
      <c r="A37" s="248"/>
      <c r="B37" s="61" t="str">
        <f>_xlfn.CONCAT("Here is a link to help walk you through the install -")</f>
        <v>Here is a link to help walk you through the install -</v>
      </c>
      <c r="C37" s="98"/>
      <c r="D37" s="61" t="str">
        <f>_xlfn.CONCAT("Here is a link to help walk you through the install -")</f>
        <v>Here is a link to help walk you through the install -</v>
      </c>
      <c r="E37" s="98"/>
      <c r="F37" s="35" t="str">
        <f>_xlfn.CONCAT("DemoData27:  "&amp;('Program Config'!$C$30)&amp;"
DemoData72:  "&amp;('Program Config'!$C$31)&amp;"
URL:  "&amp;('Program Config'!$C$34)&amp;" ")</f>
        <v xml:space="preserve">DemoData27:  Nonce7
DemoData72:  Nocne8
URL:  https://www.linkedin.com/in/jo-ann-balsamo/ </v>
      </c>
      <c r="H37" s="56" t="str">
        <f>_xlfn.CONCAT("DemoData27:  "&amp;('Program Config'!$C$30)&amp;"
DemoData72:  "&amp;('Program Config'!$C$31)&amp;"
URL:  "&amp;('Program Config'!$C$34)&amp;" ")</f>
        <v xml:space="preserve">DemoData27:  Nonce7
DemoData72:  Nocne8
URL:  https://www.linkedin.com/in/jo-ann-balsamo/ </v>
      </c>
      <c r="I37" s="53" t="s">
        <v>747</v>
      </c>
      <c r="K37" s="608" t="str">
        <f>HYPERLINK("https://www.linkedin.com/in/jo-ann-balsamo", "brief video.")</f>
        <v>brief video.</v>
      </c>
      <c r="M37" s="247" t="str">
        <f>HYPERLINK($N$37,"DemoData.com - LS LI")</f>
        <v>DemoData.com - LS LI</v>
      </c>
      <c r="N37" s="317" t="str">
        <f>HYPERLINK(_xlfn.CONCAT("https://www.linkedin.com/in/jo-ann-balsamo"&amp;('Program Config'!$C$28)&amp;""))</f>
        <v>https://www.linkedin.com/in/jo-ann-balsamoNONCE-nonce-NONCE2-nonce3-nonce</v>
      </c>
      <c r="O37" s="251" t="str">
        <f>(HYPERLINK(_xlfn.CONCAT($P$37),"How do I create activities with learning tools interoperability (GENINTEGRATION 22)?"&amp;""))</f>
        <v>How do I create activities with learning tools interoperability (GENINTEGRATION 22)?</v>
      </c>
      <c r="P37" s="245" t="s">
        <v>610</v>
      </c>
      <c r="Q37" s="61" t="s">
        <v>1009</v>
      </c>
      <c r="S37" s="61" t="str">
        <f>_xlfn.CONCAT("      1.  The CID - Highlighted in Step 7 on Page 3 of the MARKET2 LMS1 Client DemoData727e")</f>
        <v xml:space="preserve">      1.  The CID - Highlighted in Step 7 on Page 3 of the MARKET2 LMS1 Client DemoData727e</v>
      </c>
      <c r="U37" s="61" t="str">
        <f>_xlfn.CONCAT("      1.  The CID - Highlighted in Step 7 on Page 3 of the MARKET2 LMS1 Client DemoData727e")</f>
        <v xml:space="preserve">      1.  The CID - Highlighted in Step 7 on Page 3 of the MARKET2 LMS1 Client DemoData727e</v>
      </c>
      <c r="V37" s="98"/>
      <c r="W37" s="35" t="s">
        <v>983</v>
      </c>
      <c r="Y37" s="61"/>
      <c r="Z37" s="140"/>
      <c r="AA37" s="61" t="s">
        <v>1009</v>
      </c>
      <c r="AC37" s="61"/>
      <c r="AD37" s="140"/>
    </row>
    <row r="38" spans="1:32" ht="45" customHeight="1" x14ac:dyDescent="0.55000000000000004">
      <c r="A38" s="248"/>
      <c r="B38" s="251" t="str">
        <f>(HYPERLINK(_xlfn.CONCAT($C$38),"How do I configure an external app for an account ... - Instructure Community (LMS1lms.com)"&amp;""))</f>
        <v>How do I configure an external app for an account ... - Instructure Community (LMS1lms.com)</v>
      </c>
      <c r="C38" s="245" t="s">
        <v>610</v>
      </c>
      <c r="D38" s="251" t="str">
        <f>(HYPERLINK(_xlfn.CONCAT($E$38),"How do I configure an external app for an account ... - Instructure Community (LMS1lms.com)"&amp;""))</f>
        <v>How do I configure an external app for an account ... - Instructure Community (LMS1lms.com)</v>
      </c>
      <c r="E38" s="245" t="s">
        <v>610</v>
      </c>
      <c r="F38" s="35" t="s">
        <v>437</v>
      </c>
      <c r="H38" s="53" t="s">
        <v>438</v>
      </c>
      <c r="I38" s="53" t="s">
        <v>897</v>
      </c>
      <c r="K38" s="53" t="s">
        <v>984</v>
      </c>
      <c r="M38" s="61" t="s">
        <v>985</v>
      </c>
      <c r="O38" s="61" t="s">
        <v>827</v>
      </c>
      <c r="Q38" s="61" t="s">
        <v>986</v>
      </c>
      <c r="S38" s="61" t="str">
        <f>_xlfn.CONCAT("      2.  The Deployment ID - Highlighted in Step 9 on Page 7 of the MARKET2 LMS1 Client DemoData727e")</f>
        <v xml:space="preserve">      2.  The Deployment ID - Highlighted in Step 9 on Page 7 of the MARKET2 LMS1 Client DemoData727e</v>
      </c>
      <c r="U38" s="61" t="str">
        <f>_xlfn.CONCAT("      2.  The Deployment ID - Highlighted in Step 9 on Page 7 of the MARKET2 LMS1 Client DemoData727e")</f>
        <v xml:space="preserve">      2.  The Deployment ID - Highlighted in Step 9 on Page 7 of the MARKET2 LMS1 Client DemoData727e</v>
      </c>
      <c r="V38" s="98"/>
      <c r="Y38" s="61"/>
      <c r="Z38" s="140"/>
      <c r="AA38" s="61" t="s">
        <v>986</v>
      </c>
      <c r="AC38" s="61"/>
      <c r="AD38" s="140"/>
    </row>
    <row r="39" spans="1:32" ht="45" customHeight="1" x14ac:dyDescent="0.55000000000000004">
      <c r="B39" s="61" t="str">
        <f>_xlfn.CONCAT("DemoData27:  "&amp;('Program Config'!$C$30)&amp;"
DemoData72:  "&amp;('Program Config'!$C$31)&amp;"
URL:  "&amp;('Program Config'!$C$34)&amp;" ")</f>
        <v xml:space="preserve">DemoData27:  Nonce7
DemoData72:  Nocne8
URL:  https://www.linkedin.com/in/jo-ann-balsamo/ </v>
      </c>
      <c r="D39" s="61" t="str">
        <f>_xlfn.CONCAT("DemoData27:  "&amp;('Program Config'!$C$30)&amp;"
DemoData72:  "&amp;('Program Config'!$C$31)&amp;"
URL:  "&amp;('Program Config'!$C$34)&amp;" ")</f>
        <v xml:space="preserve">DemoData27:  Nonce7
DemoData72:  Nocne8
URL:  https://www.linkedin.com/in/jo-ann-balsamo/ </v>
      </c>
      <c r="I39" s="53" t="s">
        <v>431</v>
      </c>
      <c r="K39" s="53" t="s">
        <v>439</v>
      </c>
      <c r="M39" s="61" t="str">
        <f>IF('Program Contacts &amp; Kickoff'!$C$2&lt;&gt;"",'Program Contacts &amp; Kickoff'!$C$2, "your CSM")</f>
        <v>your CSM</v>
      </c>
      <c r="O39" s="61" t="s">
        <v>987</v>
      </c>
      <c r="Q39" s="251" t="str">
        <f>(HYPERLINK(_xlfn.CONCAT($R$39),"article"&amp;""))</f>
        <v>article</v>
      </c>
      <c r="R39" s="245" t="s">
        <v>610</v>
      </c>
      <c r="S39" s="61" t="str">
        <f>_xlfn.CONCAT("You can reply to this Type1 to send me both the CID and the Deployment ID; I will respond to let you know the configuration has been completed and it is okay to proceed with testing.")</f>
        <v>You can reply to this Type1 to send me both the CID and the Deployment ID; I will respond to let you know the configuration has been completed and it is okay to proceed with testing.</v>
      </c>
      <c r="U39" s="61" t="str">
        <f>_xlfn.CONCAT("You can reply to this Type1 to send me both the CID and the Deployment ID; I will respond to let you know the configuration has been completed and it is okay to proceed with testing.")</f>
        <v>You can reply to this Type1 to send me both the CID and the Deployment ID; I will respond to let you know the configuration has been completed and it is okay to proceed with testing.</v>
      </c>
      <c r="Y39" s="61"/>
      <c r="Z39" s="140"/>
      <c r="AA39" s="251" t="str">
        <f>(HYPERLINK(_xlfn.CONCAT($R$39),"article"&amp;""))</f>
        <v>article</v>
      </c>
      <c r="AB39" s="245" t="s">
        <v>610</v>
      </c>
      <c r="AC39" s="61"/>
      <c r="AD39" s="140"/>
    </row>
    <row r="40" spans="1:32" ht="45" customHeight="1" x14ac:dyDescent="0.55000000000000004">
      <c r="B40" s="61" t="str">
        <f>_xlfn.CONCAT("Once installed, please complete a couple of test student/teacher launches from a few different courses.")</f>
        <v>Once installed, please complete a couple of test student/teacher launches from a few different courses.</v>
      </c>
      <c r="D40" s="61" t="str">
        <f>_xlfn.CONCAT("Once installed, please complete a couple of test student/teacher launches from a few different courses.")</f>
        <v>Once installed, please complete a couple of test student/teacher launches from a few different courses.</v>
      </c>
      <c r="I40" s="53" t="s">
        <v>440</v>
      </c>
      <c r="M40" s="61" t="s">
        <v>883</v>
      </c>
      <c r="O40" s="251" t="str">
        <f>(HYPERLINK(_xlfn.CONCAT($P$41),"How do I change my User Settings? (Teacher) – Agilix Help Center"&amp;""))</f>
        <v>How do I change my User Settings? (Teacher) – Agilix Help Center</v>
      </c>
      <c r="P40" s="245" t="s">
        <v>610</v>
      </c>
      <c r="Q40" s="61" t="s">
        <v>441</v>
      </c>
      <c r="S40" s="61" t="str">
        <f>_xlfn.CONCAT("Please Note:  The tool will not launch until both the CID and Deployment ID are added to the configuration.")</f>
        <v>Please Note:  The tool will not launch until both the CID and Deployment ID are added to the configuration.</v>
      </c>
      <c r="U40" s="61" t="str">
        <f>_xlfn.CONCAT("Please Note:  The tool will not launch until both the CID and Deployment ID are added to the configuration.")</f>
        <v>Please Note:  The tool will not launch until both the CID and Deployment ID are added to the configuration.</v>
      </c>
      <c r="Y40" s="61"/>
      <c r="Z40" s="140"/>
      <c r="AA40" s="61" t="s">
        <v>441</v>
      </c>
      <c r="AC40" s="61"/>
      <c r="AD40" s="140"/>
    </row>
    <row r="41" spans="1:32" ht="45" customHeight="1" x14ac:dyDescent="0.55000000000000004">
      <c r="B41" s="61" t="str">
        <f>_xlfn.CONCAT("When the transactions are in, we’ll verify with you to make sure that we’re capturing and mapping the user and course IDs most usable for reporting purposes.")</f>
        <v>When the transactions are in, we’ll verify with you to make sure that we’re capturing and mapping the user and course IDs most usable for reporting purposes.</v>
      </c>
      <c r="D41" s="61" t="str">
        <f>_xlfn.CONCAT("When the transactions are in, we’ll verify with you to make sure that we’re capturing and mapping the user and course IDs most usable for reporting purposes.")</f>
        <v>When the transactions are in, we’ll verify with you to make sure that we’re capturing and mapping the user and course IDs most usable for reporting purposes.</v>
      </c>
      <c r="M41" s="61"/>
      <c r="O41" s="61" t="s">
        <v>442</v>
      </c>
      <c r="Q41" s="61" t="s">
        <v>828</v>
      </c>
      <c r="S41" s="61" t="str">
        <f>_xlfn.CONCAT("Once ready, please let me know when you have completed a couple of tests by launching from both student and teacher accounts in varying courses.")</f>
        <v>Once ready, please let me know when you have completed a couple of tests by launching from both student and teacher accounts in varying courses.</v>
      </c>
      <c r="U41" s="61" t="str">
        <f>_xlfn.CONCAT("Once ready, please let me know when you have completed a couple of tests by launching from both student and teacher accounts in varying courses.")</f>
        <v>Once ready, please let me know when you have completed a couple of tests by launching from both student and teacher accounts in varying courses.</v>
      </c>
      <c r="Y41" s="61"/>
      <c r="Z41" s="140"/>
      <c r="AA41" s="61" t="s">
        <v>828</v>
      </c>
      <c r="AC41" s="61"/>
      <c r="AD41" s="140"/>
    </row>
    <row r="42" spans="1:32" ht="45" customHeight="1" x14ac:dyDescent="0.55000000000000004">
      <c r="B42" s="61" t="str">
        <f>_xlfn.CONCAT("If you have any questions about the configuration, please don’t hesitate to reach out!")</f>
        <v>If you have any questions about the configuration, please don’t hesitate to reach out!</v>
      </c>
      <c r="D42" s="61" t="str">
        <f>_xlfn.CONCAT("If you have any questions about the configuration, please don’t hesitate to reach out!")</f>
        <v>If you have any questions about the configuration, please don’t hesitate to reach out!</v>
      </c>
      <c r="M42" s="61"/>
      <c r="O42" s="61" t="str">
        <f>_xlfn.CONCAT("Thank you,")</f>
        <v>Thank you,</v>
      </c>
      <c r="Q42" s="61" t="s">
        <v>439</v>
      </c>
      <c r="S42" s="61" t="str">
        <f>_xlfn.CONCAT("I will review the data to verify that we have captured /mapped the user and course IDs most suitable for reporting.
If you have any questions about the configuration, please let me know.")</f>
        <v>I will review the data to verify that we have captured /mapped the user and course IDs most suitable for reporting.
If you have any questions about the configuration, please let me know.</v>
      </c>
      <c r="U42" s="61" t="str">
        <f>_xlfn.CONCAT("I will review the data to verify that we have captured /mapped the user and course IDs most suitable for reporting.
If you have any questions about the configuration, please let me know.")</f>
        <v>I will review the data to verify that we have captured /mapped the user and course IDs most suitable for reporting.
If you have any questions about the configuration, please let me know.</v>
      </c>
      <c r="Y42" s="61"/>
      <c r="Z42" s="140"/>
      <c r="AA42" s="61" t="s">
        <v>439</v>
      </c>
      <c r="AC42" s="61"/>
      <c r="AD42" s="140"/>
    </row>
    <row r="43" spans="1:32" ht="45" customHeight="1" x14ac:dyDescent="0.55000000000000004">
      <c r="B43" s="61" t="str">
        <f>_xlfn.CONCAT("Thank you,")</f>
        <v>Thank you,</v>
      </c>
      <c r="D43" s="61" t="str">
        <f>_xlfn.CONCAT("Thank you,")</f>
        <v>Thank you,</v>
      </c>
      <c r="M43" s="61"/>
      <c r="S43" s="61" t="str">
        <f>_xlfn.CONCAT("Thank you,")</f>
        <v>Thank you,</v>
      </c>
      <c r="U43" s="61" t="str">
        <f>_xlfn.CONCAT("Thank you,")</f>
        <v>Thank you,</v>
      </c>
      <c r="Y43" s="61"/>
      <c r="Z43" s="140"/>
      <c r="AC43" s="61"/>
      <c r="AD43" s="140"/>
    </row>
    <row r="44" spans="1:32" ht="45" customHeight="1" x14ac:dyDescent="0.55000000000000004">
      <c r="M44" s="61"/>
      <c r="Y44" s="61"/>
      <c r="Z44" s="140"/>
      <c r="AC44" s="61"/>
      <c r="AD44" s="140"/>
    </row>
    <row r="45" spans="1:32" s="15" customFormat="1" ht="45" customHeight="1" x14ac:dyDescent="0.55000000000000004">
      <c r="A45" s="34" t="s">
        <v>135</v>
      </c>
      <c r="B45" s="59" t="s">
        <v>988</v>
      </c>
      <c r="C45" s="60"/>
      <c r="D45" s="71" t="s">
        <v>988</v>
      </c>
      <c r="E45" s="72"/>
      <c r="F45" s="41" t="s">
        <v>989</v>
      </c>
      <c r="G45" s="42"/>
      <c r="H45" s="47" t="s">
        <v>990</v>
      </c>
      <c r="I45" s="48" t="s">
        <v>991</v>
      </c>
      <c r="J45" s="49" t="s">
        <v>992</v>
      </c>
      <c r="K45" s="50" t="s">
        <v>993</v>
      </c>
      <c r="L45" s="51" t="s">
        <v>994</v>
      </c>
      <c r="M45" s="186" t="s">
        <v>995</v>
      </c>
      <c r="N45" s="73"/>
      <c r="O45" s="96" t="s">
        <v>996</v>
      </c>
      <c r="P45" s="97"/>
      <c r="Q45" s="99" t="s">
        <v>997</v>
      </c>
      <c r="R45" s="100"/>
      <c r="S45" s="103" t="s">
        <v>998</v>
      </c>
      <c r="T45" s="104"/>
      <c r="U45" s="105" t="s">
        <v>998</v>
      </c>
      <c r="V45" s="105"/>
      <c r="W45" s="113" t="s">
        <v>999</v>
      </c>
      <c r="X45" s="114"/>
      <c r="Y45" s="115" t="s">
        <v>990</v>
      </c>
      <c r="Z45" s="115" t="s">
        <v>237</v>
      </c>
      <c r="AA45" s="116" t="s">
        <v>997</v>
      </c>
      <c r="AB45" s="117"/>
      <c r="AC45" s="115" t="s">
        <v>1000</v>
      </c>
      <c r="AD45" s="115" t="s">
        <v>237</v>
      </c>
      <c r="AE45" s="119" t="s">
        <v>994</v>
      </c>
      <c r="AF45" s="118"/>
    </row>
    <row r="46" spans="1:32" ht="139.5" customHeight="1" x14ac:dyDescent="0.55000000000000004">
      <c r="A46" s="65" t="str">
        <f>_xlfn.CONCAT("DRAFT
Attach: Program Preferences Sheet
Subject: "&amp;('Program Config'!$F$10)&amp;" / Program Preferences Sheet
"&amp;IF(OR('Drop Down Lists'!$AW$27&lt;&gt;"",'Drop Down Lists'!$AW$28&lt;&gt;"",'Drop Down Lists'!$AW$29&lt;&gt;"",'Drop Down Lists'!$AW$30&lt;&gt;"",'Drop Down Lists'!$AW$31&lt;&gt;"",'Drop Down Lists'!$AW$32&lt;&gt;"",'Drop Down Lists'!$AW$33&lt;&gt;"",'Drop Down Lists'!$AW$34&lt;&gt;"",'Drop Down Lists'!$AW$35&lt;&gt;"",'Drop Down Lists'!$AW$36&lt;&gt;""),_xlfn.CONCAT("TO: "&amp;_xlfn.TEXTJOIN("; ",TRUE,'Drop Down Lists'!$AW$27:$AW$36)&amp;""),""))&amp;"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f>
        <v>DRAFT
Attach: Program Preferences Sheet
Subject: DEMO / Program Preferences Sheet
TO: w.barnes@demodata.com; t.navarro@demodata.com; n.reed@demodata.com
CC:  leah.adler@FakeDemoData.com; gavin.park@FakeDemoData.com; m.chen@demodata.com
BCC: victoria.lane@FakeDemoData.com</v>
      </c>
      <c r="B46" s="141" t="str">
        <f>$A$46</f>
        <v>DRAFT
Attach: Program Preferences Sheet
Subject: DEMO / Program Preferences Sheet
TO: w.barnes@demodata.com; t.navarro@demodata.com; n.reed@demodata.com
CC:  leah.adler@FakeDemoData.com; gavin.park@FakeDemoData.com; m.chen@demodata.com
BCC: victoria.lane@FakeDemoData.com</v>
      </c>
      <c r="C46" s="66"/>
      <c r="D46" s="141" t="str">
        <f>$A$46</f>
        <v>DRAFT
Attach: Program Preferences Sheet
Subject: DEMO / Program Preferences Sheet
TO: w.barnes@demodata.com; t.navarro@demodata.com; n.reed@demodata.com
CC:  leah.adler@FakeDemoData.com; gavin.park@FakeDemoData.com; m.chen@demodata.com
BCC: victoria.lane@FakeDemoData.com</v>
      </c>
      <c r="E46" s="66"/>
      <c r="F46" s="141" t="str">
        <f>$A$46</f>
        <v>DRAFT
Attach: Program Preferences Sheet
Subject: DEMO / Program Preferences Sheet
TO: w.barnes@demodata.com; t.navarro@demodata.com; n.reed@demodata.com
CC:  leah.adler@FakeDemoData.com; gavin.park@FakeDemoData.com; m.chen@demodata.com
BCC: victoria.lane@FakeDemoData.com</v>
      </c>
      <c r="G46" s="40"/>
      <c r="H46" s="141" t="str">
        <f t="shared" ref="H46:M46" si="2">$A$46</f>
        <v>DRAFT
Attach: Program Preferences Sheet
Subject: DEMO / Program Preferences Sheet
TO: w.barnes@demodata.com; t.navarro@demodata.com; n.reed@demodata.com
CC:  leah.adler@FakeDemoData.com; gavin.park@FakeDemoData.com; m.chen@demodata.com
BCC: victoria.lane@FakeDemoData.com</v>
      </c>
      <c r="I46" s="141" t="str">
        <f t="shared" si="2"/>
        <v>DRAFT
Attach: Program Preferences Sheet
Subject: DEMO / Program Preferences Sheet
TO: w.barnes@demodata.com; t.navarro@demodata.com; n.reed@demodata.com
CC:  leah.adler@FakeDemoData.com; gavin.park@FakeDemoData.com; m.chen@demodata.com
BCC: victoria.lane@FakeDemoData.com</v>
      </c>
      <c r="J46" s="141" t="str">
        <f t="shared" si="2"/>
        <v>DRAFT
Attach: Program Preferences Sheet
Subject: DEMO / Program Preferences Sheet
TO: w.barnes@demodata.com; t.navarro@demodata.com; n.reed@demodata.com
CC:  leah.adler@FakeDemoData.com; gavin.park@FakeDemoData.com; m.chen@demodata.com
BCC: victoria.lane@FakeDemoData.com</v>
      </c>
      <c r="K46" s="141" t="str">
        <f t="shared" si="2"/>
        <v>DRAFT
Attach: Program Preferences Sheet
Subject: DEMO / Program Preferences Sheet
TO: w.barnes@demodata.com; t.navarro@demodata.com; n.reed@demodata.com
CC:  leah.adler@FakeDemoData.com; gavin.park@FakeDemoData.com; m.chen@demodata.com
BCC: victoria.lane@FakeDemoData.com</v>
      </c>
      <c r="L46" s="141" t="str">
        <f t="shared" si="2"/>
        <v>DRAFT
Attach: Program Preferences Sheet
Subject: DEMO / Program Preferences Sheet
TO: w.barnes@demodata.com; t.navarro@demodata.com; n.reed@demodata.com
CC:  leah.adler@FakeDemoData.com; gavin.park@FakeDemoData.com; m.chen@demodata.com
BCC: victoria.lane@FakeDemoData.com</v>
      </c>
      <c r="M46" s="141" t="str">
        <f t="shared" si="2"/>
        <v>DRAFT
Attach: Program Preferences Sheet
Subject: DEMO / Program Preferences Sheet
TO: w.barnes@demodata.com; t.navarro@demodata.com; n.reed@demodata.com
CC:  leah.adler@FakeDemoData.com; gavin.park@FakeDemoData.com; m.chen@demodata.com
BCC: victoria.lane@FakeDemoData.com</v>
      </c>
      <c r="O46" s="141" t="str">
        <f>$A$46</f>
        <v>DRAFT
Attach: Program Preferences Sheet
Subject: DEMO / Program Preferences Sheet
TO: w.barnes@demodata.com; t.navarro@demodata.com; n.reed@demodata.com
CC:  leah.adler@FakeDemoData.com; gavin.park@FakeDemoData.com; m.chen@demodata.com
BCC: victoria.lane@FakeDemoData.com</v>
      </c>
      <c r="Q46" s="141" t="str">
        <f>$A$46</f>
        <v>DRAFT
Attach: Program Preferences Sheet
Subject: DEMO / Program Preferences Sheet
TO: w.barnes@demodata.com; t.navarro@demodata.com; n.reed@demodata.com
CC:  leah.adler@FakeDemoData.com; gavin.park@FakeDemoData.com; m.chen@demodata.com
BCC: victoria.lane@FakeDemoData.com</v>
      </c>
      <c r="S46" s="141" t="str">
        <f>$A$46</f>
        <v>DRAFT
Attach: Program Preferences Sheet
Subject: DEMO / Program Preferences Sheet
TO: w.barnes@demodata.com; t.navarro@demodata.com; n.reed@demodata.com
CC:  leah.adler@FakeDemoData.com; gavin.park@FakeDemoData.com; m.chen@demodata.com
BCC: victoria.lane@FakeDemoData.com</v>
      </c>
      <c r="T46" s="66"/>
      <c r="U46" s="141" t="str">
        <f>$A$46</f>
        <v>DRAFT
Attach: Program Preferences Sheet
Subject: DEMO / Program Preferences Sheet
TO: w.barnes@demodata.com; t.navarro@demodata.com; n.reed@demodata.com
CC:  leah.adler@FakeDemoData.com; gavin.park@FakeDemoData.com; m.chen@demodata.com
BCC: victoria.lane@FakeDemoData.com</v>
      </c>
      <c r="V46" s="66"/>
      <c r="W46" s="141" t="str">
        <f>$A$46</f>
        <v>DRAFT
Attach: Program Preferences Sheet
Subject: DEMO / Program Preferences Sheet
TO: w.barnes@demodata.com; t.navarro@demodata.com; n.reed@demodata.com
CC:  leah.adler@FakeDemoData.com; gavin.park@FakeDemoData.com; m.chen@demodata.com
BCC: victoria.lane@FakeDemoData.com</v>
      </c>
      <c r="X46" s="40"/>
      <c r="Y46" s="141" t="str">
        <f>$A$46</f>
        <v>DRAFT
Attach: Program Preferences Sheet
Subject: DEMO / Program Preferences Sheet
TO: w.barnes@demodata.com; t.navarro@demodata.com; n.reed@demodata.com
CC:  leah.adler@FakeDemoData.com; gavin.park@FakeDemoData.com; m.chen@demodata.com
BCC: victoria.lane@FakeDemoData.com</v>
      </c>
      <c r="Z46" s="66"/>
      <c r="AA46" s="141" t="str">
        <f>$A$46</f>
        <v>DRAFT
Attach: Program Preferences Sheet
Subject: DEMO / Program Preferences Sheet
TO: w.barnes@demodata.com; t.navarro@demodata.com; n.reed@demodata.com
CC:  leah.adler@FakeDemoData.com; gavin.park@FakeDemoData.com; m.chen@demodata.com
BCC: victoria.lane@FakeDemoData.com</v>
      </c>
      <c r="AC46" s="141" t="str">
        <f>$A$46</f>
        <v>DRAFT
Attach: Program Preferences Sheet
Subject: DEMO / Program Preferences Sheet
TO: w.barnes@demodata.com; t.navarro@demodata.com; n.reed@demodata.com
CC:  leah.adler@FakeDemoData.com; gavin.park@FakeDemoData.com; m.chen@demodata.com
BCC: victoria.lane@FakeDemoData.com</v>
      </c>
      <c r="AD46" s="66"/>
      <c r="AE46" s="141" t="str">
        <f>$A$46</f>
        <v>DRAFT
Attach: Program Preferences Sheet
Subject: DEMO / Program Preferences Sheet
TO: w.barnes@demodata.com; t.navarro@demodata.com; n.reed@demodata.com
CC:  leah.adler@FakeDemoData.com; gavin.park@FakeDemoData.com; m.chen@demodata.com
BCC: victoria.lane@FakeDemoData.com</v>
      </c>
      <c r="AF46" s="40"/>
    </row>
    <row r="47" spans="1:32" ht="45" customHeight="1" x14ac:dyDescent="0.55000000000000004">
      <c r="A47" s="65" t="s">
        <v>898</v>
      </c>
      <c r="B47" s="141" t="str">
        <f>$A$47</f>
        <v>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D47" s="141" t="str">
        <f>$A$47</f>
        <v>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F47" s="141" t="str">
        <f>$A$47</f>
        <v>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H47" s="141" t="str">
        <f t="shared" ref="H47:M47" si="3">$A$47</f>
        <v>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I47" s="141" t="str">
        <f t="shared" si="3"/>
        <v>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J47" s="141" t="str">
        <f t="shared" si="3"/>
        <v>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K47" s="141" t="str">
        <f t="shared" si="3"/>
        <v>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L47" s="141" t="str">
        <f t="shared" si="3"/>
        <v>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M47" s="141" t="str">
        <f t="shared" si="3"/>
        <v>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O47" s="141" t="str">
        <f>$A$47</f>
        <v>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Q47" s="141" t="str">
        <f>$A$47</f>
        <v>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S47" s="141" t="str">
        <f>$A$47</f>
        <v>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U47" s="141" t="str">
        <f>$A$47</f>
        <v>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W47" s="141" t="str">
        <f>$A$47</f>
        <v>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Y47" s="141" t="str">
        <f>$A$47</f>
        <v>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AA47" s="141" t="str">
        <f>$A$47</f>
        <v>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AC47" s="141" t="str">
        <f>$A$47</f>
        <v>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c r="AE47" s="141" t="str">
        <f>$A$47</f>
        <v>Good Morning,
It was so nice to meet you and your team today 😊
MARKET2 is your program preferences sheet that we discussed on the Kickoff Call -  please review and get back to me when you are able. 
•	Page 5 is where you will enter information regarding the time limits you would like to set for students to access DemoDataing each term; if you do not intend to impose time limits, you can skip this page entirely.
•	Pages 6-8 are all the subjects that are available and included in your custom program – please check any subjects you want removed and I will update your program.
•	Page 9 is a list of diagnostic quizzes available for your program – please check all the quizzes you would like to include, and I will be sure they are added.
•	Page 11 is a list of who you would like to identify as AMs for your DemoData.com program; AMs are able to receive reporting and/or early alerts and also access the DemoData.com Client AP for your Program. 
o	If you would like for a staff member to ONLY receive reporting without access to the Client AP, you may specify that as well.  
I'm looking forward to working with you!
Thank you,</v>
      </c>
    </row>
    <row r="48" spans="1:32" s="1" customFormat="1" ht="45" customHeight="1" x14ac:dyDescent="0.55000000000000004">
      <c r="A48" s="12"/>
      <c r="B48" s="59" t="s">
        <v>882</v>
      </c>
      <c r="C48" s="60"/>
      <c r="D48" s="71" t="s">
        <v>882</v>
      </c>
      <c r="E48" s="72"/>
      <c r="F48" s="41" t="s">
        <v>882</v>
      </c>
      <c r="G48" s="42"/>
      <c r="H48" s="47" t="s">
        <v>882</v>
      </c>
      <c r="I48" s="48" t="s">
        <v>882</v>
      </c>
      <c r="J48" s="49" t="s">
        <v>882</v>
      </c>
      <c r="K48" s="50" t="s">
        <v>882</v>
      </c>
      <c r="L48" s="51" t="s">
        <v>882</v>
      </c>
      <c r="M48" s="186" t="s">
        <v>882</v>
      </c>
      <c r="N48" s="73"/>
      <c r="O48" s="96" t="s">
        <v>882</v>
      </c>
      <c r="P48" s="97"/>
      <c r="Q48" s="99" t="s">
        <v>882</v>
      </c>
      <c r="R48" s="100"/>
      <c r="S48" s="103" t="s">
        <v>882</v>
      </c>
      <c r="T48" s="104"/>
      <c r="U48" s="105" t="s">
        <v>882</v>
      </c>
      <c r="V48" s="105"/>
      <c r="W48" s="113" t="s">
        <v>882</v>
      </c>
      <c r="X48" s="114"/>
      <c r="Y48" s="115" t="s">
        <v>882</v>
      </c>
      <c r="Z48" s="115" t="s">
        <v>237</v>
      </c>
      <c r="AA48" s="116" t="s">
        <v>882</v>
      </c>
      <c r="AB48" s="117"/>
      <c r="AC48" s="115" t="s">
        <v>882</v>
      </c>
      <c r="AD48" s="115" t="s">
        <v>237</v>
      </c>
      <c r="AE48" s="119" t="s">
        <v>882</v>
      </c>
      <c r="AF48" s="118"/>
    </row>
    <row r="49" spans="1:32" ht="45" customHeight="1" x14ac:dyDescent="0.55000000000000004">
      <c r="A49" s="65" t="str">
        <f>_xlfn.CONCAT(""&amp;('Program Config'!$F$10)&amp;" LATEST:  "&amp;('Program Config'!$C$49)&amp;"
Username: "&amp;('Program Config'!$C$52)&amp;" 
PW: "&amp;('Program Config'!$C$53)&amp;"")</f>
        <v>DEMO LATEST:  https://www.linkedin.com/in/jo-ann-balsamo
Username: linkedin@PRODUCT4.com 
PW: DemoData2026</v>
      </c>
      <c r="B49" s="141" t="str">
        <f>$A$49</f>
        <v>DEMO LATEST:  https://www.linkedin.com/in/jo-ann-balsamo
Username: linkedin@PRODUCT4.com 
PW: DemoData2026</v>
      </c>
      <c r="D49" s="141" t="str">
        <f>$A$49</f>
        <v>DEMO LATEST:  https://www.linkedin.com/in/jo-ann-balsamo
Username: linkedin@PRODUCT4.com 
PW: DemoData2026</v>
      </c>
      <c r="F49" s="141" t="str">
        <f>$A$49</f>
        <v>DEMO LATEST:  https://www.linkedin.com/in/jo-ann-balsamo
Username: linkedin@PRODUCT4.com 
PW: DemoData2026</v>
      </c>
      <c r="H49" s="141" t="str">
        <f t="shared" ref="H49:M49" si="4">$A$49</f>
        <v>DEMO LATEST:  https://www.linkedin.com/in/jo-ann-balsamo
Username: linkedin@PRODUCT4.com 
PW: DemoData2026</v>
      </c>
      <c r="I49" s="141" t="str">
        <f t="shared" si="4"/>
        <v>DEMO LATEST:  https://www.linkedin.com/in/jo-ann-balsamo
Username: linkedin@PRODUCT4.com 
PW: DemoData2026</v>
      </c>
      <c r="J49" s="141" t="str">
        <f t="shared" si="4"/>
        <v>DEMO LATEST:  https://www.linkedin.com/in/jo-ann-balsamo
Username: linkedin@PRODUCT4.com 
PW: DemoData2026</v>
      </c>
      <c r="K49" s="141" t="str">
        <f t="shared" si="4"/>
        <v>DEMO LATEST:  https://www.linkedin.com/in/jo-ann-balsamo
Username: linkedin@PRODUCT4.com 
PW: DemoData2026</v>
      </c>
      <c r="L49" s="141" t="str">
        <f t="shared" si="4"/>
        <v>DEMO LATEST:  https://www.linkedin.com/in/jo-ann-balsamo
Username: linkedin@PRODUCT4.com 
PW: DemoData2026</v>
      </c>
      <c r="M49" s="141" t="str">
        <f t="shared" si="4"/>
        <v>DEMO LATEST:  https://www.linkedin.com/in/jo-ann-balsamo
Username: linkedin@PRODUCT4.com 
PW: DemoData2026</v>
      </c>
      <c r="O49" s="141" t="str">
        <f>$A$49</f>
        <v>DEMO LATEST:  https://www.linkedin.com/in/jo-ann-balsamo
Username: linkedin@PRODUCT4.com 
PW: DemoData2026</v>
      </c>
      <c r="Q49" s="141" t="str">
        <f>$A$49</f>
        <v>DEMO LATEST:  https://www.linkedin.com/in/jo-ann-balsamo
Username: linkedin@PRODUCT4.com 
PW: DemoData2026</v>
      </c>
      <c r="S49" s="141" t="str">
        <f>$A$49</f>
        <v>DEMO LATEST:  https://www.linkedin.com/in/jo-ann-balsamo
Username: linkedin@PRODUCT4.com 
PW: DemoData2026</v>
      </c>
      <c r="U49" s="141" t="str">
        <f>$A$49</f>
        <v>DEMO LATEST:  https://www.linkedin.com/in/jo-ann-balsamo
Username: linkedin@PRODUCT4.com 
PW: DemoData2026</v>
      </c>
      <c r="W49" s="141" t="str">
        <f>$A$49</f>
        <v>DEMO LATEST:  https://www.linkedin.com/in/jo-ann-balsamo
Username: linkedin@PRODUCT4.com 
PW: DemoData2026</v>
      </c>
      <c r="Y49" s="141" t="str">
        <f>$A$49</f>
        <v>DEMO LATEST:  https://www.linkedin.com/in/jo-ann-balsamo
Username: linkedin@PRODUCT4.com 
PW: DemoData2026</v>
      </c>
      <c r="AA49" s="141" t="str">
        <f>$A$49</f>
        <v>DEMO LATEST:  https://www.linkedin.com/in/jo-ann-balsamo
Username: linkedin@PRODUCT4.com 
PW: DemoData2026</v>
      </c>
      <c r="AC49" s="141" t="str">
        <f>$A$49</f>
        <v>DEMO LATEST:  https://www.linkedin.com/in/jo-ann-balsamo
Username: linkedin@PRODUCT4.com 
PW: DemoData2026</v>
      </c>
      <c r="AE49" s="141" t="str">
        <f>$A$49</f>
        <v>DEMO LATEST:  https://www.linkedin.com/in/jo-ann-balsamo
Username: linkedin@PRODUCT4.com 
PW: DemoData2026</v>
      </c>
    </row>
    <row r="50" spans="1:32" s="15" customFormat="1" ht="45" customHeight="1" x14ac:dyDescent="0.55000000000000004">
      <c r="A50" s="34"/>
      <c r="B50" s="59" t="s">
        <v>899</v>
      </c>
      <c r="C50" s="60"/>
      <c r="D50" s="71" t="s">
        <v>899</v>
      </c>
      <c r="E50" s="72"/>
      <c r="F50" s="41" t="s">
        <v>899</v>
      </c>
      <c r="G50" s="42"/>
      <c r="H50" s="47" t="s">
        <v>899</v>
      </c>
      <c r="I50" s="48" t="s">
        <v>899</v>
      </c>
      <c r="J50" s="49" t="s">
        <v>899</v>
      </c>
      <c r="K50" s="50" t="s">
        <v>899</v>
      </c>
      <c r="L50" s="51" t="s">
        <v>899</v>
      </c>
      <c r="M50" s="186" t="s">
        <v>899</v>
      </c>
      <c r="N50" s="73"/>
      <c r="O50" s="96" t="s">
        <v>899</v>
      </c>
      <c r="P50" s="97"/>
      <c r="Q50" s="99" t="s">
        <v>899</v>
      </c>
      <c r="R50" s="100"/>
      <c r="S50" s="103" t="s">
        <v>899</v>
      </c>
      <c r="T50" s="104"/>
      <c r="U50" s="105" t="s">
        <v>899</v>
      </c>
      <c r="V50" s="105"/>
      <c r="W50" s="113" t="s">
        <v>899</v>
      </c>
      <c r="X50" s="114"/>
      <c r="Y50" s="115" t="s">
        <v>899</v>
      </c>
      <c r="Z50" s="115" t="s">
        <v>237</v>
      </c>
      <c r="AA50" s="116" t="s">
        <v>899</v>
      </c>
      <c r="AB50" s="117"/>
      <c r="AC50" s="115" t="s">
        <v>899</v>
      </c>
      <c r="AD50" s="115" t="s">
        <v>237</v>
      </c>
      <c r="AE50" s="119" t="s">
        <v>899</v>
      </c>
      <c r="AF50" s="118"/>
    </row>
    <row r="51" spans="1:32" ht="45" customHeight="1" x14ac:dyDescent="0.55000000000000004">
      <c r="A51" s="65" t="str">
        <f>_xlfn.CONCAT(""&amp;('Program Config'!$F$10)&amp;" AP: "&amp;('Program Config'!$C$50)&amp;"
Username: "&amp;('Program Config'!$C$52)&amp;"
PW: "&amp;('Program Config'!$C$53)&amp;"")</f>
        <v>DEMO AP: https://www.linkedin.com/in//linkedin/AM
Username: linkedin@PRODUCT4.com
PW: DemoData2026</v>
      </c>
      <c r="B51" s="141" t="str">
        <f>$A$51</f>
        <v>DEMO AP: https://www.linkedin.com/in//linkedin/AM
Username: linkedin@PRODUCT4.com
PW: DemoData2026</v>
      </c>
      <c r="D51" s="141" t="str">
        <f>$A$51</f>
        <v>DEMO AP: https://www.linkedin.com/in//linkedin/AM
Username: linkedin@PRODUCT4.com
PW: DemoData2026</v>
      </c>
      <c r="F51" s="141" t="str">
        <f>$A$51</f>
        <v>DEMO AP: https://www.linkedin.com/in//linkedin/AM
Username: linkedin@PRODUCT4.com
PW: DemoData2026</v>
      </c>
      <c r="H51" s="141" t="str">
        <f t="shared" ref="H51:M51" si="5">$A$51</f>
        <v>DEMO AP: https://www.linkedin.com/in//linkedin/AM
Username: linkedin@PRODUCT4.com
PW: DemoData2026</v>
      </c>
      <c r="I51" s="141" t="str">
        <f t="shared" si="5"/>
        <v>DEMO AP: https://www.linkedin.com/in//linkedin/AM
Username: linkedin@PRODUCT4.com
PW: DemoData2026</v>
      </c>
      <c r="J51" s="141" t="str">
        <f t="shared" si="5"/>
        <v>DEMO AP: https://www.linkedin.com/in//linkedin/AM
Username: linkedin@PRODUCT4.com
PW: DemoData2026</v>
      </c>
      <c r="K51" s="141" t="str">
        <f t="shared" si="5"/>
        <v>DEMO AP: https://www.linkedin.com/in//linkedin/AM
Username: linkedin@PRODUCT4.com
PW: DemoData2026</v>
      </c>
      <c r="L51" s="141" t="str">
        <f t="shared" si="5"/>
        <v>DEMO AP: https://www.linkedin.com/in//linkedin/AM
Username: linkedin@PRODUCT4.com
PW: DemoData2026</v>
      </c>
      <c r="M51" s="141" t="str">
        <f t="shared" si="5"/>
        <v>DEMO AP: https://www.linkedin.com/in//linkedin/AM
Username: linkedin@PRODUCT4.com
PW: DemoData2026</v>
      </c>
      <c r="O51" s="141" t="str">
        <f>$A$51</f>
        <v>DEMO AP: https://www.linkedin.com/in//linkedin/AM
Username: linkedin@PRODUCT4.com
PW: DemoData2026</v>
      </c>
      <c r="Q51" s="141" t="str">
        <f>$A$51</f>
        <v>DEMO AP: https://www.linkedin.com/in//linkedin/AM
Username: linkedin@PRODUCT4.com
PW: DemoData2026</v>
      </c>
      <c r="S51" s="141" t="str">
        <f>$A$51</f>
        <v>DEMO AP: https://www.linkedin.com/in//linkedin/AM
Username: linkedin@PRODUCT4.com
PW: DemoData2026</v>
      </c>
      <c r="U51" s="141" t="str">
        <f>$A$51</f>
        <v>DEMO AP: https://www.linkedin.com/in//linkedin/AM
Username: linkedin@PRODUCT4.com
PW: DemoData2026</v>
      </c>
      <c r="W51" s="141" t="str">
        <f>$A$51</f>
        <v>DEMO AP: https://www.linkedin.com/in//linkedin/AM
Username: linkedin@PRODUCT4.com
PW: DemoData2026</v>
      </c>
      <c r="Y51" s="141" t="str">
        <f>$A$51</f>
        <v>DEMO AP: https://www.linkedin.com/in//linkedin/AM
Username: linkedin@PRODUCT4.com
PW: DemoData2026</v>
      </c>
      <c r="AA51" s="141" t="str">
        <f>$A$51</f>
        <v>DEMO AP: https://www.linkedin.com/in//linkedin/AM
Username: linkedin@PRODUCT4.com
PW: DemoData2026</v>
      </c>
      <c r="AC51" s="141" t="str">
        <f>$A$51</f>
        <v>DEMO AP: https://www.linkedin.com/in//linkedin/AM
Username: linkedin@PRODUCT4.com
PW: DemoData2026</v>
      </c>
      <c r="AE51" s="141" t="str">
        <f>$A$51</f>
        <v>DEMO AP: https://www.linkedin.com/in//linkedin/AM
Username: linkedin@PRODUCT4.com
PW: DemoData2026</v>
      </c>
    </row>
    <row r="52" spans="1:32" s="15" customFormat="1" ht="45" customHeight="1" x14ac:dyDescent="0.55000000000000004">
      <c r="A52" s="34"/>
      <c r="B52" s="59" t="s">
        <v>638</v>
      </c>
      <c r="C52" s="60"/>
      <c r="D52" s="71"/>
      <c r="E52" s="72"/>
      <c r="F52" s="41"/>
      <c r="G52" s="42"/>
      <c r="H52" s="47"/>
      <c r="I52" s="48"/>
      <c r="J52" s="49"/>
      <c r="K52" s="50"/>
      <c r="L52" s="51"/>
      <c r="M52" s="186"/>
      <c r="N52" s="73"/>
      <c r="O52" s="96"/>
      <c r="P52" s="97"/>
      <c r="Q52" s="99"/>
      <c r="R52" s="100"/>
      <c r="S52" s="103"/>
      <c r="T52" s="104"/>
      <c r="U52" s="105"/>
      <c r="V52" s="105"/>
      <c r="W52" s="113"/>
      <c r="X52" s="114"/>
      <c r="Y52" s="115"/>
      <c r="Z52" s="115"/>
      <c r="AA52" s="116"/>
      <c r="AB52" s="117"/>
      <c r="AC52" s="115"/>
      <c r="AD52" s="115"/>
      <c r="AE52" s="119"/>
      <c r="AF52" s="118"/>
    </row>
    <row r="53" spans="1:32" ht="156" customHeight="1" x14ac:dyDescent="0.55000000000000004">
      <c r="B53" s="65" t="str">
        <f>_xlfn.CONCAT("DRAFT
Attach: DemoData.com Tech Setup DemoData727e
Subject: "&amp;('Program Config'!$F$10)&amp;" / DemoData.com Whitelist Request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
"</f>
        <v xml:space="preserve">DRAFT
Attach: DemoData.com Tech Setup DemoData727e
Subject: DEMO / DemoData.com Whitelist Request
TO: w.barnes@demodata.com; t.navarro@demodata.com; n.reed@demodata.com
CC:  leah.adler@FakeDemoData.com; gavin.park@FakeDemoData.com; m.chen@demodata.com
BCC: victoria.lane@FakeDemoData.com
</v>
      </c>
      <c r="C53" s="66"/>
    </row>
    <row r="54" spans="1:32" ht="45" customHeight="1" x14ac:dyDescent="0.55000000000000004">
      <c r="B54" s="61" t="s">
        <v>908</v>
      </c>
    </row>
    <row r="55" spans="1:32" ht="45" customHeight="1" x14ac:dyDescent="0.55000000000000004">
      <c r="B55" s="168" t="str">
        <f>IFERROR(VLOOKUP('Program Config'!$J$14,'Drop Down Lists'!$AY$3:$AZ$15,2,FALSE),".")</f>
        <v>.</v>
      </c>
    </row>
    <row r="56" spans="1:32" ht="45" customHeight="1" x14ac:dyDescent="0.55000000000000004">
      <c r="B56" s="167" t="s">
        <v>907</v>
      </c>
    </row>
    <row r="57" spans="1:32" ht="45" customHeight="1" x14ac:dyDescent="0.55000000000000004">
      <c r="B57" s="61" t="s">
        <v>1001</v>
      </c>
    </row>
    <row r="58" spans="1:32" ht="45" customHeight="1" x14ac:dyDescent="0.55000000000000004">
      <c r="B58" s="61" t="s">
        <v>909</v>
      </c>
    </row>
    <row r="59" spans="1:32" ht="45" customHeight="1" x14ac:dyDescent="0.55000000000000004">
      <c r="B59" s="61" t="s">
        <v>608</v>
      </c>
    </row>
    <row r="60" spans="1:32" ht="45" customHeight="1" x14ac:dyDescent="0.55000000000000004">
      <c r="B60" s="61" t="s">
        <v>605</v>
      </c>
    </row>
    <row r="61" spans="1:32" ht="45" customHeight="1" x14ac:dyDescent="0.55000000000000004">
      <c r="B61" s="61" t="s">
        <v>711</v>
      </c>
    </row>
    <row r="62" spans="1:32" ht="45" customHeight="1" x14ac:dyDescent="0.55000000000000004">
      <c r="B62" s="61" t="s">
        <v>910</v>
      </c>
    </row>
    <row r="63" spans="1:32" ht="45" customHeight="1" x14ac:dyDescent="0.55000000000000004">
      <c r="B63" s="67" t="s">
        <v>911</v>
      </c>
      <c r="C63" s="68"/>
      <c r="S63" s="67"/>
      <c r="T63" s="68"/>
      <c r="U63" s="67"/>
      <c r="V63" s="68"/>
      <c r="Z63" s="68"/>
      <c r="AD63" s="68"/>
    </row>
    <row r="64" spans="1:32" ht="45" customHeight="1" x14ac:dyDescent="0.55000000000000004">
      <c r="B64" s="67" t="s">
        <v>911</v>
      </c>
      <c r="C64" s="68"/>
      <c r="S64" s="67"/>
      <c r="T64" s="68"/>
      <c r="U64" s="67"/>
      <c r="V64" s="68"/>
      <c r="Z64" s="68"/>
      <c r="AD64" s="68"/>
    </row>
    <row r="65" spans="1:32" ht="45" customHeight="1" x14ac:dyDescent="0.55000000000000004">
      <c r="B65" s="67" t="s">
        <v>911</v>
      </c>
      <c r="C65" s="68"/>
      <c r="S65" s="67"/>
      <c r="T65" s="68"/>
      <c r="U65" s="67"/>
      <c r="V65" s="68"/>
      <c r="Z65" s="68"/>
      <c r="AD65" s="68"/>
    </row>
    <row r="66" spans="1:32" ht="45" customHeight="1" x14ac:dyDescent="0.55000000000000004">
      <c r="B66" s="67" t="s">
        <v>911</v>
      </c>
    </row>
    <row r="67" spans="1:32" ht="45" customHeight="1" x14ac:dyDescent="0.55000000000000004">
      <c r="B67" s="61" t="s">
        <v>909</v>
      </c>
    </row>
    <row r="68" spans="1:32" ht="45" customHeight="1" x14ac:dyDescent="0.55000000000000004">
      <c r="B68" s="69" t="s">
        <v>649</v>
      </c>
      <c r="C68" s="70"/>
      <c r="S68" s="69"/>
      <c r="T68" s="70"/>
      <c r="U68" s="69"/>
      <c r="V68" s="70"/>
      <c r="Z68" s="70"/>
      <c r="AD68" s="70"/>
    </row>
    <row r="69" spans="1:32" ht="45" customHeight="1" x14ac:dyDescent="0.55000000000000004">
      <c r="B69" s="69" t="s">
        <v>649</v>
      </c>
      <c r="C69" s="70"/>
      <c r="S69" s="69"/>
      <c r="T69" s="70"/>
      <c r="U69" s="69"/>
      <c r="V69" s="70"/>
      <c r="Z69" s="70"/>
      <c r="AD69" s="70"/>
    </row>
    <row r="70" spans="1:32" ht="45" customHeight="1" x14ac:dyDescent="0.55000000000000004">
      <c r="B70" s="69" t="s">
        <v>649</v>
      </c>
    </row>
    <row r="71" spans="1:32" ht="45" customHeight="1" x14ac:dyDescent="0.55000000000000004">
      <c r="B71" s="61" t="s">
        <v>650</v>
      </c>
    </row>
    <row r="72" spans="1:32" ht="45" customHeight="1" x14ac:dyDescent="0.55000000000000004">
      <c r="B72" s="61" t="s">
        <v>912</v>
      </c>
    </row>
    <row r="73" spans="1:32" s="15" customFormat="1" ht="45" customHeight="1" x14ac:dyDescent="0.55000000000000004">
      <c r="A73" s="34"/>
      <c r="B73" s="193" t="s">
        <v>616</v>
      </c>
      <c r="C73" s="193" t="s">
        <v>699</v>
      </c>
      <c r="D73" s="193" t="s">
        <v>700</v>
      </c>
      <c r="E73" s="194" t="s">
        <v>612</v>
      </c>
      <c r="F73" s="194" t="s">
        <v>701</v>
      </c>
      <c r="G73" s="194" t="s">
        <v>702</v>
      </c>
      <c r="H73" s="190" t="s">
        <v>833</v>
      </c>
      <c r="I73" s="190" t="s">
        <v>834</v>
      </c>
      <c r="J73" s="190" t="s">
        <v>835</v>
      </c>
      <c r="K73" s="192" t="s">
        <v>296</v>
      </c>
      <c r="L73" s="192" t="s">
        <v>703</v>
      </c>
      <c r="M73" s="192" t="s">
        <v>704</v>
      </c>
      <c r="N73" s="195" t="s">
        <v>309</v>
      </c>
      <c r="O73" s="195" t="s">
        <v>705</v>
      </c>
      <c r="P73" s="195" t="s">
        <v>706</v>
      </c>
      <c r="Q73" s="196" t="s">
        <v>266</v>
      </c>
      <c r="R73" s="196"/>
      <c r="S73" s="103"/>
      <c r="T73" s="104"/>
      <c r="U73" s="103"/>
      <c r="V73" s="104"/>
      <c r="W73" s="41"/>
      <c r="X73" s="42"/>
      <c r="Y73" s="47"/>
      <c r="Z73" s="115" t="s">
        <v>237</v>
      </c>
      <c r="AA73" s="96"/>
      <c r="AB73" s="97"/>
      <c r="AC73" s="47"/>
      <c r="AD73" s="115" t="s">
        <v>237</v>
      </c>
      <c r="AE73" s="51"/>
      <c r="AF73" s="42"/>
    </row>
    <row r="74" spans="1:32" ht="122.25" customHeight="1" x14ac:dyDescent="0.55000000000000004">
      <c r="B74" s="53" t="str">
        <f>_xlfn.CONCAT("DRAFT
Attach: Client DemoData727es - LMS3 Rostering (PDF)
Subject: "&amp;(IF('Program Config'!$F$10&lt;&gt;0,'Program Config'!$F$10,"****Insert Client Name****")&amp;" / DemoData.com "&amp;(B$73)&amp;"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f>
        <v>DRAFT
Attach: Client DemoData727es - LMS3 Rostering (PDF)
Subject: DEMO / DemoData.com LMS3 Rostering
TO: w.barnes@demodata.com; t.navarro@demodata.com; n.reed@demodata.com
CC:  leah.adler@FakeDemoData.com; gavin.park@FakeDemoData.com; m.chen@demodata.com
BCC: victoria.lane@FakeDemoData.com</v>
      </c>
      <c r="C74" s="53" t="str">
        <f>_xlfn.CONCAT("DRAFT
Attach: Client DemoData727es - LMS3 Rostering (PDF)
Subject: "&amp;(IF('Program Config'!$F$10&lt;&gt;0,'Program Config'!$F$10,"****Insert Client Name****")&amp;" / DemoData.com "&amp;(C$73)&amp;"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f>
        <v>DRAFT
Attach: Client DemoData727es - LMS3 Rostering (PDF)
Subject: DEMO / DemoData.com LMS3 Rostering + PROD7
TO: w.barnes@demodata.com; t.navarro@demodata.com; n.reed@demodata.com
CC:  leah.adler@FakeDemoData.com; gavin.park@FakeDemoData.com; m.chen@demodata.com
BCC: victoria.lane@FakeDemoData.com</v>
      </c>
      <c r="D74" s="53" t="str">
        <f>_xlfn.CONCAT("DRAFT
Attach: Client DemoData727es - LMS3 Rostering (PDF)
Subject: "&amp;(IF('Program Config'!$F$10&lt;&gt;0,'Program Config'!$F$10,"****Insert Client Name****")&amp;" / DemoData.com "&amp;(D$73)&amp;"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f>
        <v>DRAFT
Attach: Client DemoData727es - LMS3 Rostering (PDF)
Subject: DEMO / DemoData.com LMS3 Rostering + PROD7 + PRODUCT2
TO: w.barnes@demodata.com; t.navarro@demodata.com; n.reed@demodata.com
CC:  leah.adler@FakeDemoData.com; gavin.park@FakeDemoData.com; m.chen@demodata.com
BCC: victoria.lane@FakeDemoData.com</v>
      </c>
      <c r="E74" s="53" t="str">
        <f>_xlfn.CONCAT("DRAFT
Attach: Client DemoData727es - OneRoster &amp; Customized DemoData Rostering via LMS2 - PROD
Subject: "&amp;(IF('Program Config'!$F$10&lt;&gt;0,'Program Config'!$F$10,"****Insert Client Name****")&amp;" / DemoData.com "&amp;(E$73)&amp;"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f>
        <v>DRAFT
Attach: Client DemoData727es - OneRoster &amp; Customized DemoData Rostering via LMS2 - PROD
Subject: DEMO / DemoData.com LMS2 OneRoster
TO: w.barnes@demodata.com; t.navarro@demodata.com; n.reed@demodata.com
CC:  leah.adler@FakeDemoData.com; gavin.park@FakeDemoData.com; m.chen@demodata.com
BCC: victoria.lane@FakeDemoData.com</v>
      </c>
      <c r="F74" s="53" t="str">
        <f>_xlfn.CONCAT("DRAFT
Attach: Client DemoData727es - OneRoster &amp; Customized DemoData Rostering via LMS2 - PROD
Subject: "&amp;(IF('Program Config'!$F$10&lt;&gt;0,'Program Config'!$F$10,"****Insert Client Name****")&amp;" / DemoData.com "&amp;(F$73)&amp;"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f>
        <v>DRAFT
Attach: Client DemoData727es - OneRoster &amp; Customized DemoData Rostering via LMS2 - PROD
Subject: DEMO / DemoData.com LMS2 OneRoster + PROD7
TO: w.barnes@demodata.com; t.navarro@demodata.com; n.reed@demodata.com
CC:  leah.adler@FakeDemoData.com; gavin.park@FakeDemoData.com; m.chen@demodata.com
BCC: victoria.lane@FakeDemoData.com</v>
      </c>
      <c r="G74" s="53" t="str">
        <f>_xlfn.CONCAT("DRAFT
Attach: Client DemoData727es - OneRoster &amp; Customized DemoData Rostering via LMS2 - PROD
Subject: "&amp;(IF('Program Config'!$F$10&lt;&gt;0,'Program Config'!$F$10,"****Insert Client Name****")&amp;" / DemoData.com "&amp;(G$73)&amp;"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f>
        <v>DRAFT
Attach: Client DemoData727es - OneRoster &amp; Customized DemoData Rostering via LMS2 - PROD
Subject: DEMO / DemoData.com LMS2 OneRoster + PROD7 + PRODUCT2
TO: w.barnes@demodata.com; t.navarro@demodata.com; n.reed@demodata.com
CC:  leah.adler@FakeDemoData.com; gavin.park@FakeDemoData.com; m.chen@demodata.com
BCC: victoria.lane@FakeDemoData.com</v>
      </c>
      <c r="H74" s="191" t="str">
        <f>_xlfn.CONCAT("DRAFT
Attach: Client DemoData727es - LMS3 Rostering (PDF)
Subject: "&amp;(IF('Program Config'!$F$10&lt;&gt;0,'Program Config'!$F$10,"****Insert Client Name****")&amp;" / DemoData.com "&amp;(H$73)&amp;"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f>
        <v>DRAFT
Attach: Client DemoData727es - LMS3 Rostering (PDF)
Subject: DEMO / DemoData.com LMS4/GENINTEGRATION Integration + LMS3 Rostering
TO: w.barnes@demodata.com; t.navarro@demodata.com; n.reed@demodata.com
CC:  leah.adler@FakeDemoData.com; gavin.park@FakeDemoData.com; m.chen@demodata.com
BCC: victoria.lane@FakeDemoData.com</v>
      </c>
      <c r="I74" s="191" t="str">
        <f>_xlfn.CONCAT("DRAFT
Attach: Client DemoData727es - LMS3 Rostering (PDF)
Subject: "&amp;(IF('Program Config'!$F$10&lt;&gt;0,'Program Config'!$F$10,"****Insert Client Name****")&amp;" / DemoData.com "&amp;(I$73)&amp;"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f>
        <v>DRAFT
Attach: Client DemoData727es - LMS3 Rostering (PDF)
Subject: DEMO / DemoData.com LMS4/GENINTEGRATION Integration + LMS3 Rostering + PROD7
TO: w.barnes@demodata.com; t.navarro@demodata.com; n.reed@demodata.com
CC:  leah.adler@FakeDemoData.com; gavin.park@FakeDemoData.com; m.chen@demodata.com
BCC: victoria.lane@FakeDemoData.com</v>
      </c>
      <c r="J74" s="191" t="str">
        <f>_xlfn.CONCAT("DRAFT
Attach: Client DemoData727es - LMS3 Rostering (PDF)
Subject: "&amp;(IF('Program Config'!$F$10&lt;&gt;0,'Program Config'!$F$10,"****Insert Client Name****")&amp;" / DemoData.com "&amp;(J$73)&amp;"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f>
        <v>DRAFT
Attach: Client DemoData727es - LMS3 Rostering (PDF)
Subject: DEMO / DemoData.com LMS4/GENINTEGRATION Integration + LMS3 Rostering + PROD7 + PRODUCT2
TO: w.barnes@demodata.com; t.navarro@demodata.com; n.reed@demodata.com
CC:  leah.adler@FakeDemoData.com; gavin.park@FakeDemoData.com; m.chen@demodata.com
BCC: victoria.lane@FakeDemoData.com</v>
      </c>
      <c r="K74" s="53" t="str">
        <f>_xlfn.CONCAT("DRAFT
Attach: JLB Client DemoData727e -Rostering Using WinSCP
Subject: "&amp;(IF('Program Config'!$F$10&lt;&gt;0,'Program Config'!$F$10,"****Insert Client Name****")&amp;" / DemoData.com "&amp;(K$73)&amp;"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f>
        <v>DRAFT
Attach: JLB Client DemoData727e -Rostering Using WinSCP
Subject: DEMO / DemoData.com SFTP Rostering
TO: w.barnes@demodata.com; t.navarro@demodata.com; n.reed@demodata.com
CC:  leah.adler@FakeDemoData.com; gavin.park@FakeDemoData.com; m.chen@demodata.com
BCC: victoria.lane@FakeDemoData.com</v>
      </c>
      <c r="L74" s="53" t="str">
        <f>_xlfn.CONCAT("DRAFT
Attach:JLB Client DemoData727e -Rostering Using WinSCP
Subject: "&amp;(IF('Program Config'!$F$10&lt;&gt;0,'Program Config'!$F$10,"****Insert Client Name****")&amp;" / DemoData.com "&amp;(L$73)&amp;"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f>
        <v>DRAFT
Attach:JLB Client DemoData727e -Rostering Using WinSCP
Subject: DEMO / DemoData.com SFTP Rostering + PROD7
TO: w.barnes@demodata.com; t.navarro@demodata.com; n.reed@demodata.com
CC:  leah.adler@FakeDemoData.com; gavin.park@FakeDemoData.com; m.chen@demodata.com
BCC: victoria.lane@FakeDemoData.com</v>
      </c>
      <c r="M74" s="188" t="str">
        <f>_xlfn.CONCAT("DRAFT
Attach: JLB Client DemoData727e -Rostering Using WinSCP
Subject: "&amp;(IF('Program Config'!$F$10&lt;&gt;0,'Program Config'!$F$10,"****Insert Client Name****")&amp;" / DemoData.com "&amp;(M$73)&amp;"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f>
        <v>DRAFT
Attach: JLB Client DemoData727e -Rostering Using WinSCP
Subject: DEMO / DemoData.com SFTP Rostering + PROD7 + PRODUCT2
TO: w.barnes@demodata.com; t.navarro@demodata.com; n.reed@demodata.com
CC:  leah.adler@FakeDemoData.com; gavin.park@FakeDemoData.com; m.chen@demodata.com
BCC: victoria.lane@FakeDemoData.com</v>
      </c>
      <c r="N74" s="53" t="str">
        <f>_xlfn.CONCAT("DRAFT
Attach: n/a
Subject: "&amp;(IF('Program Config'!$F$10&lt;&gt;0,'Program Config'!$F$10,"****Insert Client Name****")&amp;" / DemoData.com "&amp;(N$73)&amp;"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f>
        <v>DRAFT
Attach: n/a
Subject: DEMO / DemoData.com Unspecified Rostering
TO: w.barnes@demodata.com; t.navarro@demodata.com; n.reed@demodata.com
CC:  leah.adler@FakeDemoData.com; gavin.park@FakeDemoData.com; m.chen@demodata.com
BCC: victoria.lane@FakeDemoData.com</v>
      </c>
      <c r="O74" s="53" t="str">
        <f>_xlfn.CONCAT("DRAFT
Attach: n/a
Subject: "&amp;(IF('Program Config'!$F$10&lt;&gt;0,'Program Config'!$F$10,"****Insert Client Name****")&amp;" / DemoData.com "&amp;(O$73)&amp;"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f>
        <v>DRAFT
Attach: n/a
Subject: DEMO / DemoData.com Unspecified Rostering + PROD7
TO: w.barnes@demodata.com; t.navarro@demodata.com; n.reed@demodata.com
CC:  leah.adler@FakeDemoData.com; gavin.park@FakeDemoData.com; m.chen@demodata.com
BCC: victoria.lane@FakeDemoData.com</v>
      </c>
      <c r="P74" s="53" t="str">
        <f>_xlfn.CONCAT("DRAFT
Attach: n/a
Subject: "&amp;(IF('Program Config'!$F$10&lt;&gt;0,'Program Config'!$F$10,"****Insert Client Name****")&amp;" / DemoData.com "&amp;(P$73)&amp;"
"&amp;IF(OR('Drop Down Lists'!$AV$27&lt;&gt;"",'Drop Down Lists'!$AV$28&lt;&gt;"",'Drop Down Lists'!$AV$29&lt;&gt;"",'Drop Down Lists'!$AV$30&lt;&gt;"",'Drop Down Lists'!$AV$31&lt;&gt;"",'Drop Down Lists'!$AV$32&lt;&gt;"",'Drop Down Lists'!$AV$33&lt;&gt;"",'Drop Down Lists'!$AV$34&lt;&gt;"",'Drop Down Lists'!$AV$35&lt;&gt;"",'Drop Down Lists'!$AV$36&lt;&gt;""),_xlfn.CONCAT("TO: "&amp;_xlfn.TEXTJOIN("; ",TRUE,'Drop Down Lists'!$AV$27:$AV$36)&amp;""),""))&amp;"
CC:  "&amp;IF(OR('Program Contacts &amp; Kickoff'!$E$3&lt;&gt;"",'Program Contacts &amp; Kickoff'!$E$2&lt;&gt;""),_xlfn.CONCAT(""&amp;_xlfn.TEXTJOIN("; ",TRUE,'Program Contacts &amp; Kickoff'!$E$2:$E$3)&amp;""),"")&amp;IF(OR('Drop Down Lists'!$AU$27&lt;&gt;"",'Drop Down Lists'!$AU$28&lt;&gt;"",'Drop Down Lists'!$AU$29&lt;&gt;"",'Drop Down Lists'!$AU$30&lt;&gt;"",'Drop Down Lists'!$AU$31&lt;&gt;"",'Drop Down Lists'!$AU$32&lt;&gt;"",'Drop Down Lists'!$AU$33&lt;&gt;"",'Drop Down Lists'!$AU$34&lt;&gt;"",'Drop Down Lists'!$AU$35&lt;&gt;"",'Drop Down Lists'!$AU$36&lt;&gt;""),_xlfn.CONCAT("; "&amp;_xlfn.TEXTJOIN("; ",TRUE,'Drop Down Lists'!$AU$27:$AU$36)&amp;""),"")&amp;"
BCC: "&amp;('Program Contacts &amp; Kickoff'!$E$1)&amp;"")</f>
        <v>DRAFT
Attach: n/a
Subject: DEMO / DemoData.com Unspecified Rostering + PROD7 + PRODUCT2
TO: w.barnes@demodata.com; t.navarro@demodata.com; n.reed@demodata.com
CC:  leah.adler@FakeDemoData.com; gavin.park@FakeDemoData.com; m.chen@demodata.com
BCC: victoria.lane@FakeDemoData.com</v>
      </c>
      <c r="Q74" s="53" t="s">
        <v>260</v>
      </c>
      <c r="R74" s="53"/>
      <c r="S74" s="61" t="s">
        <v>443</v>
      </c>
    </row>
    <row r="75" spans="1:32" ht="123.75" customHeight="1" x14ac:dyDescent="0.55000000000000004">
      <c r="B75" s="53" t="str">
        <f>_xlfn.CONCAT("Good Morning,
I am excited to partner with the "&amp;(IF('Program Config'!$F$10&lt;&gt;0,'Program Config'!$F$10,"****Insert Client Name****")&amp;" team to set up "&amp;(VLOOKUP(B$73,'Drop Down Lists'!$AY$3:$BB$15,4,FALSE)&amp;".")))</f>
        <v>Good Morning,
I am excited to partner with the DEMO team to set up LMS3 Rostering with DemoData.com.</v>
      </c>
      <c r="C75" s="53" t="str">
        <f>_xlfn.CONCAT("Good Morning,
I am excited to partner with the "&amp;(IF('Program Config'!$F$10&lt;&gt;0,'Program Config'!$F$10,"****Insert Client Name****")&amp;" team to set up "&amp;(VLOOKUP(C$73,'Drop Down Lists'!$AY$3:$BB$15,4,FALSE)&amp;".")))</f>
        <v>Good Morning,
I am excited to partner with the DEMO team to set up LMS3 Rostering with the DemoData.com Teacher Dashboard.</v>
      </c>
      <c r="D75" s="53" t="str">
        <f>_xlfn.CONCAT("Good Morning,
I am excited to partner with the "&amp;(IF('Program Config'!$F$10&lt;&gt;0,'Program Config'!$F$10,"****Insert Client Name****")&amp;" team to set up "&amp;(VLOOKUP(D$73,'Drop Down Lists'!$AY$3:$BB$15,4,FALSE)&amp;".")))</f>
        <v>Good Morning,
I am excited to partner with the DEMO team to set up LMS3 Rostering with the DemoData.com Teacher Dashboard and High Dosage DemoDataing.</v>
      </c>
      <c r="E75" s="53" t="str">
        <f>_xlfn.CONCAT("Good Morning,
I am excited to partner with the "&amp;(IF('Program Config'!$F$10&lt;&gt;0,'Program Config'!$F$10,"****Insert Client Name****")&amp;" team to set up "&amp;(VLOOKUP(E$73,'Drop Down Lists'!$AY$3:$BB$15,4,FALSE)&amp;".")))</f>
        <v>Good Morning,
I am excited to partner with the DEMO team to set up LMS2 OneRoster with DemoData.com.</v>
      </c>
      <c r="F75" s="53" t="str">
        <f>_xlfn.CONCAT("Good Morning,
I am excited to partner with the "&amp;(IF('Program Config'!$F$10&lt;&gt;0,'Program Config'!$F$10,"****Insert Client Name****")&amp;" team to set up "&amp;(VLOOKUP(F$73,'Drop Down Lists'!$AY$3:$BB$15,4,FALSE)&amp;".")))</f>
        <v>Good Morning,
I am excited to partner with the DEMO team to set up LMS2 OneRoster with the DemoData.com Teacher Dashboard.</v>
      </c>
      <c r="G75" s="53" t="str">
        <f>_xlfn.CONCAT("Good Morning,
I am excited to partner with the "&amp;(IF('Program Config'!$F$10&lt;&gt;0,'Program Config'!$F$10,"****Insert Client Name****")&amp;" team to set up "&amp;(VLOOKUP(G$73,'Drop Down Lists'!$AY$3:$BB$15,4,FALSE)&amp;".")))</f>
        <v>Good Morning,
I am excited to partner with the DEMO team to set up LMS2 OneRoster with the DemoData.com Teacher Dashboard and High Dosage DemoDataing.</v>
      </c>
      <c r="H75" s="191" t="e">
        <f>_xlfn.CONCAT("Good Morning,
I am excited to partner with the "&amp;(IF('Program Config'!$F$10&lt;&gt;0,'Program Config'!$F$10,"****Insert Client Name****")&amp;" team to set up "&amp;(VLOOKUP(H$73,'Drop Down Lists'!$AY$3:$BB$15,4,FALSE)&amp;".")))</f>
        <v>#N/A</v>
      </c>
      <c r="I75" s="191" t="e">
        <f>_xlfn.CONCAT("Good Morning,
I am excited to partner with the "&amp;(IF('Program Config'!$F$10&lt;&gt;0,'Program Config'!$F$10,"****Insert Client Name****")&amp;" team to set up "&amp;(VLOOKUP(I$73,'Drop Down Lists'!$AY$3:$BB$15,4,FALSE)&amp;".")))</f>
        <v>#N/A</v>
      </c>
      <c r="J75" s="191" t="e">
        <f>_xlfn.CONCAT("Good Morning,
I am excited to partner with the "&amp;(IF('Program Config'!$F$10&lt;&gt;0,'Program Config'!$F$10,"****Insert Client Name****")&amp;" team to set up "&amp;(VLOOKUP(J$73,'Drop Down Lists'!$AY$3:$BB$15,4,FALSE)&amp;".")))</f>
        <v>#N/A</v>
      </c>
      <c r="K75" s="53" t="str">
        <f>_xlfn.CONCAT("Good Morning,
I am excited to partner with the "&amp;(IF('Program Config'!$F$10&lt;&gt;0,'Program Config'!$F$10,"****Insert Client Name****")&amp;" team to set up "&amp;(VLOOKUP(K$73,'Drop Down Lists'!$AY$3:$BB$15,4,FALSE)&amp;".")))</f>
        <v>Good Morning,
I am excited to partner with the DEMO team to set up SFTP Rostering with DemoData.com.</v>
      </c>
      <c r="L75" s="53" t="str">
        <f>_xlfn.CONCAT("Good Morning,
I am excited to partner with the "&amp;(IF('Program Config'!$F$10&lt;&gt;0,'Program Config'!$F$10,"****Insert Client Name****")&amp;" team to set up "&amp;(VLOOKUP(L$73,'Drop Down Lists'!$AY$3:$BB$15,4,FALSE)&amp;".")))</f>
        <v>Good Morning,
I am excited to partner with the DEMO team to set up SFTP Rostering with the DemoData.com Teacher Dashboard.</v>
      </c>
      <c r="M75" s="53" t="str">
        <f>_xlfn.CONCAT("Good Morning,
I am excited to partner with the "&amp;(IF('Program Config'!$F$10&lt;&gt;0,'Program Config'!$F$10,"****Insert Client Name****")&amp;" team to set up "&amp;(VLOOKUP(M$73,'Drop Down Lists'!$AY$3:$BB$15,4,FALSE)&amp;".")))</f>
        <v>Good Morning,
I am excited to partner with the DEMO team to set up SFTP Rostering with the DemoData.com Teacher Dashboard and High Dosage DemoDataing.</v>
      </c>
      <c r="N75" s="53" t="str">
        <f>_xlfn.CONCAT("Good Morning,
I am excited to partner with the "&amp;(IF('Program Config'!$F$10&lt;&gt;0,'Program Config'!$F$10,"****Insert Client Name****")&amp;" team to set up "&amp;(VLOOKUP(N$73,'Drop Down Lists'!$AY$3:$BB$15,4,FALSE)&amp;".")))</f>
        <v>Good Morning,
I am excited to partner with the DEMO team to set up rostering with DemoData.com.</v>
      </c>
      <c r="O75" s="53" t="str">
        <f>_xlfn.CONCAT("Good Morning,
I am excited to partner with the "&amp;(IF('Program Config'!$F$10&lt;&gt;0,'Program Config'!$F$10,"****Insert Client Name****")&amp;" team to set up "&amp;(VLOOKUP(O$73,'Drop Down Lists'!$AY$3:$BB$15,4,FALSE)&amp;".")))</f>
        <v>Good Morning,
I am excited to partner with the DEMO team to set up rostering with the DemoData.com Teacher Dashboard.</v>
      </c>
      <c r="P75" s="53" t="str">
        <f>_xlfn.CONCAT("Good Morning,
I am excited to partner with the "&amp;(IF('Program Config'!$F$10&lt;&gt;0,'Program Config'!$F$10,"****Insert Client Name****")&amp;" team to set up "&amp;(VLOOKUP(P$73,'Drop Down Lists'!$AY$3:$BB$15,4,FALSE)&amp;".")))</f>
        <v>Good Morning,
I am excited to partner with the DEMO team to set up rostering with the DemoData.com Teacher Dashboard and High Dosage DemoDataing.</v>
      </c>
      <c r="Q75" s="53"/>
      <c r="R75" s="53"/>
      <c r="S75" s="61" t="s">
        <v>444</v>
      </c>
    </row>
    <row r="76" spans="1:32" ht="108" customHeight="1" x14ac:dyDescent="0.55000000000000004">
      <c r="B76" s="55" t="str">
        <f>_xlfn.CONCAT("I’d like to confirm the current set up of your program and go over the initial steps for LMS3 Rostering.  I have also included some information regarding the rostering workflow and required data pieces in the attachment above. " &amp;
"Currently, I understand your DemoData.com program is accessed through a "&amp;(IF('Program Config'!$C$14&lt;&gt;"",'Program Config'!$C$14,"****Insert Current Integration****")&amp;" connection.  To roster with DemoData.com, we need to verify and then connect via your LMS3 District ID.  Doing so will NOT impact the connection/access point your students/staff are currently using. "&amp;
"Can you please confirm that the LMS3 District ID shown below is the correct one for your school district?  Once verified, I will send an invite and sharing recommendations via LMS3 that will both need to be accepted."))</f>
        <v>I’d like to confirm the current set up of your program and go over the initial steps for LMS3 Rostering.  I have also included some information regarding the rostering workflow and required data pieces in the attachment above. Currently, I understand your DemoData.com program is accessed through a LMS1 - GENINTEGRATION 31 Link &amp; Course NAV connection.  To roster with DemoData.com, we need to verify and then connect via your LMS3 District ID.  Doing so will NOT impact the connection/access point your students/staff are currently using. Can you please confirm that the LMS3 District ID shown below is the correct one for your school district?  Once verified, I will send an invite and sharing recommendations via LMS3 that will both need to be accepted.</v>
      </c>
      <c r="C76" s="187" t="str">
        <f>$B$76</f>
        <v>I’d like to confirm the current set up of your program and go over the initial steps for LMS3 Rostering.  I have also included some information regarding the rostering workflow and required data pieces in the attachment above. Currently, I understand your DemoData.com program is accessed through a LMS1 - GENINTEGRATION 31 Link &amp; Course NAV connection.  To roster with DemoData.com, we need to verify and then connect via your LMS3 District ID.  Doing so will NOT impact the connection/access point your students/staff are currently using. Can you please confirm that the LMS3 District ID shown below is the correct one for your school district?  Once verified, I will send an invite and sharing recommendations via LMS3 that will both need to be accepted.</v>
      </c>
      <c r="D76" s="187" t="str">
        <f>$B$76</f>
        <v>I’d like to confirm the current set up of your program and go over the initial steps for LMS3 Rostering.  I have also included some information regarding the rostering workflow and required data pieces in the attachment above. Currently, I understand your DemoData.com program is accessed through a LMS1 - GENINTEGRATION 31 Link &amp; Course NAV connection.  To roster with DemoData.com, we need to verify and then connect via your LMS3 District ID.  Doing so will NOT impact the connection/access point your students/staff are currently using. Can you please confirm that the LMS3 District ID shown below is the correct one for your school district?  Once verified, I will send an invite and sharing recommendations via LMS3 that will both need to be accepted.</v>
      </c>
      <c r="E76" s="55" t="s">
        <v>748</v>
      </c>
      <c r="F76" s="187" t="str">
        <f>$E$76</f>
        <v>To get started, I have included an overview of the DemoData.com Rostering Using the OneRoster Standard DemoData727e.  Next steps would be to confirm your rostering method if, for some reason, you are not intending to use OneRoster. 
Once confirmed, I will send you instructions to initiate sending your roster files and our development team will begin the data verification process.</v>
      </c>
      <c r="G76" s="187" t="str">
        <f>$E$76</f>
        <v>To get started, I have included an overview of the DemoData.com Rostering Using the OneRoster Standard DemoData727e.  Next steps would be to confirm your rostering method if, for some reason, you are not intending to use OneRoster. 
Once confirmed, I will send you instructions to initiate sending your roster files and our development team will begin the data verification process.</v>
      </c>
      <c r="H76" s="55" t="s">
        <v>749</v>
      </c>
      <c r="I76" s="187" t="str">
        <f>$H$76</f>
        <v xml:space="preserve">To get started, I have included an overview of the DemoData.com LMS3 Rostering DemoData727e.  Next steps would be to confirm your LMS3 ID (if not already connected to JLB via LMS3). </v>
      </c>
      <c r="J76" s="187" t="str">
        <f>$H$76</f>
        <v xml:space="preserve">To get started, I have included an overview of the DemoData.com LMS3 Rostering DemoData727e.  Next steps would be to confirm your LMS3 ID (if not already connected to JLB via LMS3). </v>
      </c>
      <c r="K76" s="55" t="s">
        <v>750</v>
      </c>
      <c r="L76" s="187" t="str">
        <f>$K$76</f>
        <v>To get started, I have included an overview of the DemoData.com Rostering Using WinSCP process. Please Note: Although we provide instructions for WinSCP, it is not required, and you may use a different SFTP client if you prefer.
Next steps would be to confirm your rostering method if, for some reason, you are not intending to roster via SFTP. 
Once SFTP rostering is confirmed, you can follow the steps in Part I of the MARKET2 DemoData727e to generate and send me your public DemoData27 file. I will then provide a host name and let you know that it is okay to proceed to Part II of the DemoData727e. Once you notify me that Part II is complete and you have initiated the transfer of your roster files, our development team will begin the data verification process.</v>
      </c>
      <c r="M76" s="187" t="str">
        <f>$K$76</f>
        <v>To get started, I have included an overview of the DemoData.com Rostering Using WinSCP process. Please Note: Although we provide instructions for WinSCP, it is not required, and you may use a different SFTP client if you prefer.
Next steps would be to confirm your rostering method if, for some reason, you are not intending to roster via SFTP. 
Once SFTP rostering is confirmed, you can follow the steps in Part I of the MARKET2 DemoData727e to generate and send me your public DemoData27 file. I will then provide a host name and let you know that it is okay to proceed to Part II of the DemoData727e. Once you notify me that Part II is complete and you have initiated the transfer of your roster files, our development team will begin the data verification process.</v>
      </c>
      <c r="N76" s="55" t="s">
        <v>622</v>
      </c>
      <c r="O76" s="187" t="str">
        <f>$N$76</f>
        <v xml:space="preserve">To get started, we first need to confirm your rostering method. At DemoData.com, we are able to roster via LMS2 with the OneRoster Standard, LMS3 or SFTP.  
Once your rostering method is confirmed, I will send you instructions to initiate the transfer of your roster files and our development team will begin the data verification process. This process may vary depending on your rostering method. </v>
      </c>
      <c r="P76" s="187" t="str">
        <f>$N$76</f>
        <v xml:space="preserve">To get started, we first need to confirm your rostering method. At DemoData.com, we are able to roster via LMS2 with the OneRoster Standard, LMS3 or SFTP.  
Once your rostering method is confirmed, I will send you instructions to initiate the transfer of your roster files and our development team will begin the data verification process. This process may vary depending on your rostering method. </v>
      </c>
      <c r="Q76" s="53"/>
      <c r="R76" s="53"/>
    </row>
    <row r="77" spans="1:32" ht="208.5" customHeight="1" x14ac:dyDescent="0.55000000000000004">
      <c r="B77" s="55" t="s">
        <v>623</v>
      </c>
      <c r="C77" s="187" t="str">
        <f>$B$77</f>
        <v>****Insert LMS3 District ID Screenshot here****</v>
      </c>
      <c r="D77" s="187" t="str">
        <f>$B$77</f>
        <v>****Insert LMS3 District ID Screenshot here****</v>
      </c>
      <c r="E77" s="55" t="str">
        <f>_xlfn.CONCAT("An important aspect of the verification process is specific to the username formats received in the roster files."&amp;" In order to maintain data continuity, the username that we receive from the OneRoster will need to match the username format that is being passed from the current "&amp;(IF('Program Config'!$C$14&lt;&gt;"",'Program Config'!$C$14,"****Insert Current Integration****")&amp;" integration."))</f>
        <v>An important aspect of the verification process is specific to the username formats received in the roster files. In order to maintain data continuity, the username that we receive from the OneRoster will need to match the username format that is being passed from the current LMS1 - GENINTEGRATION 31 Link &amp; Course NAV integration.</v>
      </c>
      <c r="F77" s="187" t="str">
        <f>$E$77</f>
        <v>An important aspect of the verification process is specific to the username formats received in the roster files. In order to maintain data continuity, the username that we receive from the OneRoster will need to match the username format that is being passed from the current LMS1 - GENINTEGRATION 31 Link &amp; Course NAV integration.</v>
      </c>
      <c r="G77" s="187" t="str">
        <f>$E$77</f>
        <v>An important aspect of the verification process is specific to the username formats received in the roster files. In order to maintain data continuity, the username that we receive from the OneRoster will need to match the username format that is being passed from the current LMS1 - GENINTEGRATION 31 Link &amp; Course NAV integration.</v>
      </c>
      <c r="H77" s="55" t="s">
        <v>623</v>
      </c>
      <c r="I77" s="187" t="str">
        <f>$H$77</f>
        <v>****Insert LMS3 District ID Screenshot here****</v>
      </c>
      <c r="J77" s="187" t="str">
        <f>$H$77</f>
        <v>****Insert LMS3 District ID Screenshot here****</v>
      </c>
      <c r="K77" s="55" t="str">
        <f>_xlfn.CONCAT("An important aspect of the verification process is specific to the username formats received in the roster files."&amp;" In order to maintain data continuity, the username that we receive from the SFTP files will need to match the username format that is being passed from the current "&amp;(IF('Program Config'!$C$14&lt;&gt;"",'Program Config'!$C$14,"****Insert Current Integration****")&amp;" integration."))</f>
        <v>An important aspect of the verification process is specific to the username formats received in the roster files. In order to maintain data continuity, the username that we receive from the SFTP files will need to match the username format that is being passed from the current LMS1 - GENINTEGRATION 31 Link &amp; Course NAV integration.</v>
      </c>
      <c r="L77" s="187" t="str">
        <f>$K$77</f>
        <v>An important aspect of the verification process is specific to the username formats received in the roster files. In order to maintain data continuity, the username that we receive from the SFTP files will need to match the username format that is being passed from the current LMS1 - GENINTEGRATION 31 Link &amp; Course NAV integration.</v>
      </c>
      <c r="M77" s="187" t="str">
        <f>$K$77</f>
        <v>An important aspect of the verification process is specific to the username formats received in the roster files. In order to maintain data continuity, the username that we receive from the SFTP files will need to match the username format that is being passed from the current LMS1 - GENINTEGRATION 31 Link &amp; Course NAV integration.</v>
      </c>
      <c r="N77" s="55" t="str">
        <f>_xlfn.CONCAT("An important aspect of the verification process is specific to the username formats received in the roster files."&amp;" In order to maintain data continuity, the username that we receive from the roster files will need to match the username format that is being passed from the current "&amp;(IF('Program Config'!$C$14&lt;&gt;"",'Program Config'!$C$14,"Insert Current Integration")&amp;" integration."))</f>
        <v>An important aspect of the verification process is specific to the username formats received in the roster files. In order to maintain data continuity, the username that we receive from the roster files will need to match the username format that is being passed from the current LMS1 - GENINTEGRATION 31 Link &amp; Course NAV integration.</v>
      </c>
      <c r="O77" s="187" t="str">
        <f>$N$77</f>
        <v>An important aspect of the verification process is specific to the username formats received in the roster files. In order to maintain data continuity, the username that we receive from the roster files will need to match the username format that is being passed from the current LMS1 - GENINTEGRATION 31 Link &amp; Course NAV integration.</v>
      </c>
      <c r="P77" s="187" t="str">
        <f>$N$77</f>
        <v>An important aspect of the verification process is specific to the username formats received in the roster files. In order to maintain data continuity, the username that we receive from the roster files will need to match the username format that is being passed from the current LMS1 - GENINTEGRATION 31 Link &amp; Course NAV integration.</v>
      </c>
      <c r="Q77" s="53"/>
      <c r="R77" s="53"/>
    </row>
    <row r="78" spans="1:32" ht="45" customHeight="1" x14ac:dyDescent="0.55000000000000004">
      <c r="B78" s="55" t="s">
        <v>624</v>
      </c>
      <c r="C78" s="187" t="str">
        <f>$B$78</f>
        <v xml:space="preserve">Once connected in LMS3, we will be able to initiate LMS3 Rostering in our Stage environment and start the data verification process.  During the data verification, we will review what LMS3 is sending us in the rostering files and compare it to what we are receiving from your current connection/access point to make sure it matches.  This will not have an impact on or disrupt the current integration methods.  </v>
      </c>
      <c r="D78" s="187" t="str">
        <f>$B$78</f>
        <v xml:space="preserve">Once connected in LMS3, we will be able to initiate LMS3 Rostering in our Stage environment and start the data verification process.  During the data verification, we will review what LMS3 is sending us in the rostering files and compare it to what we are receiving from your current connection/access point to make sure it matches.  This will not have an impact on or disrupt the current integration methods.  </v>
      </c>
      <c r="E78" s="55" t="str">
        <f>_xlfn.CONCAT("From an initial review of your data, it appears that "&amp;(IF('Program Config'!$F$10&lt;&gt;0,'Program Config'!$F$10,"****Insert Client Name****")&amp;" is passing the user's ***INSERT FORMAT AND/OR DESCRIPTION OF USERNAME BEING PASSED*** as the username - please see the screenshot below for reference."))</f>
        <v>From an initial review of your data, it appears that DEMO is passing the user's ***INSERT FORMAT AND/OR DESCRIPTION OF USERNAME BEING PASSED*** as the username - please see the screenshot below for reference.</v>
      </c>
      <c r="F78" s="187" t="str">
        <f>$E$78</f>
        <v>From an initial review of your data, it appears that DEMO is passing the user's ***INSERT FORMAT AND/OR DESCRIPTION OF USERNAME BEING PASSED*** as the username - please see the screenshot below for reference.</v>
      </c>
      <c r="G78" s="187" t="str">
        <f>$E$78</f>
        <v>From an initial review of your data, it appears that DEMO is passing the user's ***INSERT FORMAT AND/OR DESCRIPTION OF USERNAME BEING PASSED*** as the username - please see the screenshot below for reference.</v>
      </c>
      <c r="H78" s="55" t="s">
        <v>445</v>
      </c>
      <c r="I78" s="187" t="str">
        <f>$H$78</f>
        <v xml:space="preserve">Once confirmed, the rostering implementation will occur in two phases.  First, I will configure your program to transmit rostering files within our stage environment for data verification with our development team; after completion and testing, we will repeat the process for production.
</v>
      </c>
      <c r="J78" s="187" t="str">
        <f>$H$78</f>
        <v xml:space="preserve">Once confirmed, the rostering implementation will occur in two phases.  First, I will configure your program to transmit rostering files within our stage environment for data verification with our development team; after completion and testing, we will repeat the process for production.
</v>
      </c>
      <c r="K78" s="55" t="str">
        <f>_xlfn.CONCAT("It appears that "&amp;(IF('Program Config'!$F$10&lt;&gt;0,'Program Config'!$F$10,"****Insert Client Name****")&amp;" is passing the user's ***INSERT FORMAT AND/OR DESCRIPTION OF USERNAME BEING PASSED*** as the username - please see the screenshot below for reference."))</f>
        <v>It appears that DEMO is passing the user's ***INSERT FORMAT AND/OR DESCRIPTION OF USERNAME BEING PASSED*** as the username - please see the screenshot below for reference.</v>
      </c>
      <c r="L78" s="187" t="str">
        <f>$K$78</f>
        <v>It appears that DEMO is passing the user's ***INSERT FORMAT AND/OR DESCRIPTION OF USERNAME BEING PASSED*** as the username - please see the screenshot below for reference.</v>
      </c>
      <c r="M78" s="187" t="str">
        <f>$K$78</f>
        <v>It appears that DEMO is passing the user's ***INSERT FORMAT AND/OR DESCRIPTION OF USERNAME BEING PASSED*** as the username - please see the screenshot below for reference.</v>
      </c>
      <c r="N78" s="55" t="str">
        <f>_xlfn.CONCAT("It appears that "&amp;(IF('Program Config'!$F$10&lt;&gt;0,'Program Config'!$F$10,"****Insert Client Name****")&amp;" is passing the user's ***INSERT FORMAT AND/OR DESCRIPTION OF USERNAME BEING PASSED*** as the username - please see the screenshot below for reference."))</f>
        <v>It appears that DEMO is passing the user's ***INSERT FORMAT AND/OR DESCRIPTION OF USERNAME BEING PASSED*** as the username - please see the screenshot below for reference.</v>
      </c>
      <c r="O78" s="187" t="str">
        <f>$N$78</f>
        <v>It appears that DEMO is passing the user's ***INSERT FORMAT AND/OR DESCRIPTION OF USERNAME BEING PASSED*** as the username - please see the screenshot below for reference.</v>
      </c>
      <c r="P78" s="187" t="str">
        <f>$N$78</f>
        <v>It appears that DEMO is passing the user's ***INSERT FORMAT AND/OR DESCRIPTION OF USERNAME BEING PASSED*** as the username - please see the screenshot below for reference.</v>
      </c>
      <c r="Q78" s="53"/>
      <c r="R78" s="53"/>
    </row>
    <row r="79" spans="1:32" ht="45" customHeight="1" x14ac:dyDescent="0.55000000000000004">
      <c r="B79" s="53" t="str">
        <f>_xlfn.CONCAT("An important aspect of the verification process is specific to the username formats received in the roster files."&amp;" In order to maintain data continuity, the username that we receive from the LMS3 will need to match the username format that is being passed from the current "&amp;(IF('Program Config'!$C$14&lt;&gt;"",'Program Config'!$C$14,"****Insert Current Integration****")&amp;" integration."))</f>
        <v>An important aspect of the verification process is specific to the username formats received in the roster files. In order to maintain data continuity, the username that we receive from the LMS3 will need to match the username format that is being passed from the current LMS1 - GENINTEGRATION 31 Link &amp; Course NAV integration.</v>
      </c>
      <c r="C79" s="187" t="str">
        <f>$B$79</f>
        <v>An important aspect of the verification process is specific to the username formats received in the roster files. In order to maintain data continuity, the username that we receive from the LMS3 will need to match the username format that is being passed from the current LMS1 - GENINTEGRATION 31 Link &amp; Course NAV integration.</v>
      </c>
      <c r="D79" s="187" t="str">
        <f>$B$79</f>
        <v>An important aspect of the verification process is specific to the username formats received in the roster files. In order to maintain data continuity, the username that we receive from the LMS3 will need to match the username format that is being passed from the current LMS1 - GENINTEGRATION 31 Link &amp; Course NAV integration.</v>
      </c>
      <c r="E79" s="55" t="s">
        <v>446</v>
      </c>
      <c r="F79" s="187" t="str">
        <f>$E$79</f>
        <v>***Insert Screenshot of Client's Usernames from SQL Query***</v>
      </c>
      <c r="G79" s="187" t="str">
        <f>$E$79</f>
        <v>***Insert Screenshot of Client's Usernames from SQL Query***</v>
      </c>
      <c r="H79" s="55" t="str">
        <f>_xlfn.CONCAT("An important aspect of the verification process is specific to the username formats received in the roster files."&amp;" In order to maintain data continuity, the username that we receive from LMS3 will need to match the username format that is being passed from the current "&amp;(IF('Program Config'!$C$14&lt;&gt;"",'Program Config'!$C$14,"****Insert Current Integration****")&amp;" integration."))</f>
        <v>An important aspect of the verification process is specific to the username formats received in the roster files. In order to maintain data continuity, the username that we receive from LMS3 will need to match the username format that is being passed from the current LMS1 - GENINTEGRATION 31 Link &amp; Course NAV integration.</v>
      </c>
      <c r="I79" s="187" t="str">
        <f>$H$79</f>
        <v>An important aspect of the verification process is specific to the username formats received in the roster files. In order to maintain data continuity, the username that we receive from LMS3 will need to match the username format that is being passed from the current LMS1 - GENINTEGRATION 31 Link &amp; Course NAV integration.</v>
      </c>
      <c r="J79" s="187" t="str">
        <f>$H$79</f>
        <v>An important aspect of the verification process is specific to the username formats received in the roster files. In order to maintain data continuity, the username that we receive from LMS3 will need to match the username format that is being passed from the current LMS1 - GENINTEGRATION 31 Link &amp; Course NAV integration.</v>
      </c>
      <c r="K79" s="55" t="s">
        <v>446</v>
      </c>
      <c r="L79" s="187" t="str">
        <f>$K$79</f>
        <v>***Insert Screenshot of Client's Usernames from SQL Query***</v>
      </c>
      <c r="M79" s="187" t="str">
        <f>$K$79</f>
        <v>***Insert Screenshot of Client's Usernames from SQL Query***</v>
      </c>
      <c r="N79" s="55" t="s">
        <v>446</v>
      </c>
      <c r="O79" s="187" t="str">
        <f>$N$79</f>
        <v>***Insert Screenshot of Client's Usernames from SQL Query***</v>
      </c>
      <c r="P79" s="187" t="str">
        <f>$N$79</f>
        <v>***Insert Screenshot of Client's Usernames from SQL Query***</v>
      </c>
      <c r="Q79" s="53"/>
      <c r="R79" s="53"/>
    </row>
    <row r="80" spans="1:32" ht="45" customHeight="1" x14ac:dyDescent="0.55000000000000004">
      <c r="B80" s="53" t="str">
        <f>_xlfn.CONCAT("From an initial review of your data, it appears that "&amp;(IF('Program Config'!$F$10&lt;&gt;0,'Program Config'!$F$10,"****Insert Client Name****")&amp;" is passing the user's ***INSERT FORMAT AND/OR DESCRIPTION OF USERNAME BEING PASSED*** as the username - please see the screenshot below for reference."))</f>
        <v>From an initial review of your data, it appears that DEMO is passing the user's ***INSERT FORMAT AND/OR DESCRIPTION OF USERNAME BEING PASSED*** as the username - please see the screenshot below for reference.</v>
      </c>
      <c r="C80" s="187" t="str">
        <f>$B$80</f>
        <v>From an initial review of your data, it appears that DEMO is passing the user's ***INSERT FORMAT AND/OR DESCRIPTION OF USERNAME BEING PASSED*** as the username - please see the screenshot below for reference.</v>
      </c>
      <c r="D80" s="187" t="str">
        <f>$B$80</f>
        <v>From an initial review of your data, it appears that DEMO is passing the user's ***INSERT FORMAT AND/OR DESCRIPTION OF USERNAME BEING PASSED*** as the username - please see the screenshot below for reference.</v>
      </c>
      <c r="E80" s="55" t="s">
        <v>447</v>
      </c>
      <c r="F80" s="187" t="str">
        <f>$E$80</f>
        <v xml:space="preserve">Please let me know if you have any questions now or along the way.
Hope you have a great day!
Thank you, 
</v>
      </c>
      <c r="G80" s="187" t="str">
        <f>$E$80</f>
        <v xml:space="preserve">Please let me know if you have any questions now or along the way.
Hope you have a great day!
Thank you, 
</v>
      </c>
      <c r="H80" s="55" t="str">
        <f>_xlfn.CONCAT("It appears that "&amp;(IF('Program Config'!$F$10&lt;&gt;0,'Program Config'!$F$10,"****Insert Client Name****")&amp;" is passing the user's ***INSERT FORMAT AND/OR DESCRIPTION OF USERNAME BEING PASSED*** as the username - please see the screenshot below for reference."))</f>
        <v>It appears that DEMO is passing the user's ***INSERT FORMAT AND/OR DESCRIPTION OF USERNAME BEING PASSED*** as the username - please see the screenshot below for reference.</v>
      </c>
      <c r="I80" s="187" t="str">
        <f>_xlfn.CONCAT("It appears that "&amp;('Program Config'!$F$10)&amp;" is passing the user's ***INSERT FORMAT AND/OR DESCRIPTION OF USERNAME BEING PASSED*** as their user names - please see the screenshot below for reference.")</f>
        <v>It appears that DEMO is passing the user's ***INSERT FORMAT AND/OR DESCRIPTION OF USERNAME BEING PASSED*** as their user names - please see the screenshot below for reference.</v>
      </c>
      <c r="J80" s="187" t="str">
        <f>_xlfn.CONCAT("It appears that "&amp;('Program Config'!$F$10)&amp;" is passing the user's ***INSERT FORMAT AND/OR DESCRIPTION OF USERNAME BEING PASSED*** as their user names - please see the screenshot below for reference.")</f>
        <v>It appears that DEMO is passing the user's ***INSERT FORMAT AND/OR DESCRIPTION OF USERNAME BEING PASSED*** as their user names - please see the screenshot below for reference.</v>
      </c>
      <c r="K80" s="55" t="s">
        <v>447</v>
      </c>
      <c r="L80" s="187" t="str">
        <f>$K$80</f>
        <v xml:space="preserve">Please let me know if you have any questions now or along the way.
Hope you have a great day!
Thank you, 
</v>
      </c>
      <c r="M80" s="187" t="str">
        <f>$K$80</f>
        <v xml:space="preserve">Please let me know if you have any questions now or along the way.
Hope you have a great day!
Thank you, 
</v>
      </c>
      <c r="N80" s="55" t="s">
        <v>447</v>
      </c>
      <c r="O80" s="187" t="str">
        <f>$N$80</f>
        <v xml:space="preserve">Please let me know if you have any questions now or along the way.
Hope you have a great day!
Thank you, 
</v>
      </c>
      <c r="P80" s="187" t="str">
        <f>$N$80</f>
        <v xml:space="preserve">Please let me know if you have any questions now or along the way.
Hope you have a great day!
Thank you, 
</v>
      </c>
      <c r="Q80" s="53"/>
      <c r="R80" s="53"/>
    </row>
    <row r="81" spans="2:18" ht="45" customHeight="1" x14ac:dyDescent="0.55000000000000004">
      <c r="B81" s="55" t="s">
        <v>446</v>
      </c>
      <c r="C81" s="187" t="str">
        <f>$B$81</f>
        <v>***Insert Screenshot of Client's Usernames from SQL Query***</v>
      </c>
      <c r="D81" s="187" t="str">
        <f>$B$81</f>
        <v>***Insert Screenshot of Client's Usernames from SQL Query***</v>
      </c>
      <c r="E81" s="189"/>
      <c r="F81" s="53"/>
      <c r="G81" s="53"/>
      <c r="H81" s="55" t="s">
        <v>448</v>
      </c>
      <c r="I81" s="187" t="str">
        <f>$H$81</f>
        <v>Please let me know if you have any questions now or along the way.
Have a great day!
Thank you,</v>
      </c>
      <c r="J81" s="187" t="str">
        <f>$H$81</f>
        <v>Please let me know if you have any questions now or along the way.
Have a great day!
Thank you,</v>
      </c>
      <c r="M81" s="188"/>
      <c r="N81" s="53"/>
      <c r="O81" s="53"/>
      <c r="P81" s="53"/>
      <c r="Q81" s="53"/>
      <c r="R81" s="53"/>
    </row>
    <row r="82" spans="2:18" ht="45" customHeight="1" x14ac:dyDescent="0.55000000000000004">
      <c r="B82" s="55" t="s">
        <v>625</v>
      </c>
      <c r="C82" s="187" t="str">
        <f>$B$82</f>
        <v>If you are ready to move forward, please notify me so that I send the sharing invite and recommendations in LMS3.  Once both are accepted, I will initiate LMS3 Rostering process in our Stage environment.  After the Stage environment data verification is complete, we will be able to initiate rostering in PRODUCTION for your program.  
Please let me know if you have any questions along the way.  I’m also available to jump on a Teams call to discuss the process if you would prefer.
Thank you,</v>
      </c>
      <c r="D82" s="187" t="str">
        <f>$B$82</f>
        <v>If you are ready to move forward, please notify me so that I send the sharing invite and recommendations in LMS3.  Once both are accepted, I will initiate LMS3 Rostering process in our Stage environment.  After the Stage environment data verification is complete, we will be able to initiate rostering in PRODUCTION for your program.  
Please let me know if you have any questions along the way.  I’m also available to jump on a Teams call to discuss the process if you would prefer.
Thank you,</v>
      </c>
      <c r="E82" s="53"/>
      <c r="F82" s="53"/>
      <c r="G82" s="53"/>
      <c r="M82" s="188"/>
      <c r="N82" s="53"/>
      <c r="O82" s="53"/>
      <c r="P82" s="53"/>
      <c r="Q82" s="53"/>
      <c r="R82" s="53"/>
    </row>
  </sheetData>
  <sheetProtection algorithmName="SHA-512" hashValue="2zkDhwlUBm0I3xFFosMJSlF5oOUnvTVNlqXBfTDGpA5itwSA2lP+cilWlIt4Y5keaaNdPsjMHrwVQOG22JKldQ==" saltValue="kLx38jf+vFmPhBijAwOllQ==" spinCount="100000" sheet="1" objects="1" scenarios="1"/>
  <hyperlinks>
    <hyperlink ref="C38" r:id="rId1" display="https://community.canvaslms.com/t5/Admin-Guide/How-do-I-configure-an-external-app-for-an-account-using-XML/ta-p/221" xr:uid="{92CCA884-48DC-4A7D-84E6-5383FE850FD9}"/>
    <hyperlink ref="E38" r:id="rId2" display="https://community.canvaslms.com/t5/Admin-Guide/How-do-I-configure-an-external-app-for-an-account-using-XML/ta-p/221" xr:uid="{64B7F583-17C1-48B0-8436-FD43A30F5F43}"/>
    <hyperlink ref="P37" r:id="rId3" location="create-lti-11-activities" display="https://support.agilix.com/hc/en-us/articles/208073246-how-do-i-create-activities-with-learning-tools-interoperability-lti-1-1-and-1-3#create-lti-11-activities" xr:uid="{F4D457CE-89F8-42A2-9791-6301C26EA86C}"/>
  </hyperlinks>
  <pageMargins left="0.7" right="0.7" top="0.75" bottom="0.75" header="0.3" footer="0.3"/>
  <pageSetup orientation="portrait"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6B8BEEAF18E7E43981E28E876A848D8" ma:contentTypeVersion="18" ma:contentTypeDescription="Create a new document." ma:contentTypeScope="" ma:versionID="92d2aa80802b6399be49df2440c8d260">
  <xsd:schema xmlns:xsd="http://www.w3.org/2001/XMLSchema" xmlns:xs="http://www.w3.org/2001/XMLSchema" xmlns:p="http://schemas.microsoft.com/office/2006/metadata/properties" xmlns:ns2="c14692a6-14b9-43db-ab8d-63f70a72e731" xmlns:ns3="301287fc-603d-402f-86b3-c7a9a5b4359e" targetNamespace="http://schemas.microsoft.com/office/2006/metadata/properties" ma:root="true" ma:fieldsID="8532a317b38b96c1beeb2aea3a9c6b3b" ns2:_="" ns3:_="">
    <xsd:import namespace="c14692a6-14b9-43db-ab8d-63f70a72e731"/>
    <xsd:import namespace="301287fc-603d-402f-86b3-c7a9a5b4359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LengthInSeconds" minOccurs="0"/>
                <xsd:element ref="ns2:MediaServiceLocation"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4692a6-14b9-43db-ab8d-63f70a72e7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d5eff67d-d145-4a38-b7f2-1282330a6c4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01287fc-603d-402f-86b3-c7a9a5b4359e"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da756420-009d-469a-99da-c809342f18ca}" ma:internalName="TaxCatchAll" ma:showField="CatchAllData" ma:web="301287fc-603d-402f-86b3-c7a9a5b4359e">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01287fc-603d-402f-86b3-c7a9a5b4359e" xsi:nil="true"/>
    <lcf76f155ced4ddcb4097134ff3c332f xmlns="c14692a6-14b9-43db-ab8d-63f70a72e73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8331010-B48E-43A6-B062-3F1D95A095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14692a6-14b9-43db-ab8d-63f70a72e731"/>
    <ds:schemaRef ds:uri="301287fc-603d-402f-86b3-c7a9a5b435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390AA67-20B2-4478-AA0A-D5D94D39C533}">
  <ds:schemaRefs>
    <ds:schemaRef ds:uri="http://schemas.microsoft.com/office/2006/metadata/properties"/>
    <ds:schemaRef ds:uri="http://schemas.microsoft.com/office/infopath/2007/PartnerControls"/>
    <ds:schemaRef ds:uri="301287fc-603d-402f-86b3-c7a9a5b4359e"/>
    <ds:schemaRef ds:uri="c14692a6-14b9-43db-ab8d-63f70a72e731"/>
  </ds:schemaRefs>
</ds:datastoreItem>
</file>

<file path=customXml/itemProps3.xml><?xml version="1.0" encoding="utf-8"?>
<ds:datastoreItem xmlns:ds="http://schemas.openxmlformats.org/officeDocument/2006/customXml" ds:itemID="{7B5A3279-C81B-4380-A10C-AF593DCD9F9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Program Contacts &amp; Kickoff</vt:lpstr>
      <vt:lpstr>Program Config</vt:lpstr>
      <vt:lpstr>DemoData3 CCP Tab</vt:lpstr>
      <vt:lpstr>Web Logo Search &amp; Drop</vt:lpstr>
      <vt:lpstr>Comms &amp; Tech</vt:lpstr>
      <vt:lpstr>HTML Messages</vt:lpstr>
      <vt:lpstr>DOC1 Table &amp; Note</vt:lpstr>
      <vt:lpstr>Drop Down Lists</vt:lpstr>
      <vt:lpstr>Concats</vt:lpstr>
      <vt:lpstr>Back_To_Build_Specs</vt:lpstr>
      <vt:lpstr>Client_URL</vt:lpstr>
      <vt:lpstr>Go_Back_to_Build_Specs</vt:lpstr>
      <vt:lpstr>Link_Back_To_Build_Specs</vt:lpstr>
      <vt:lpstr>Link_to_APIdapter_Common_Custom_Parameters</vt:lpstr>
      <vt:lpstr>'DOC1 Table &amp; Note'!Print_Area</vt:lpstr>
      <vt:lpstr>'Program Config'!Print_Area</vt:lpstr>
      <vt:lpstr>'Program Contacts &amp; Kickoff'!Print_Area</vt:lpstr>
      <vt:lpstr>Time_Zone_Map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 Ann Balsamo</dc:creator>
  <cp:keywords/>
  <dc:description/>
  <cp:lastModifiedBy>Jo Ann Balsamo</cp:lastModifiedBy>
  <cp:revision/>
  <dcterms:created xsi:type="dcterms:W3CDTF">2023-06-12T18:45:55Z</dcterms:created>
  <dcterms:modified xsi:type="dcterms:W3CDTF">2026-02-26T23:53:15Z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0x01010056B8BEEAF18E7E43981E28E876A848D8</vt:lpwstr>
  </property>
  <property fmtid="{D5CDD505-2E9C-101B-9397-08002B2CF9AE}" pid="3" name="MediaServiceImageTags">
    <vt:lpwstr/>
  </property>
</Properties>
</file>